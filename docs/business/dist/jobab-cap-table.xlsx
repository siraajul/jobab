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" sheetId="1" state="visible" r:id="rId1"/>
    <sheet xmlns:r="http://schemas.openxmlformats.org/officeDocument/2006/relationships" name="Post-seed scenario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00"/>
  </numFmts>
  <fonts count="8">
    <font>
      <name val="Calibri"/>
      <family val="2"/>
      <color theme="1"/>
      <sz val="11"/>
      <scheme val="minor"/>
    </font>
    <font>
      <name val="Calibri"/>
      <b val="1"/>
      <color rgb="00154D31"/>
      <sz val="18"/>
    </font>
    <font>
      <name val="Calibri"/>
      <i val="1"/>
      <color rgb="006C645A"/>
      <sz val="10"/>
    </font>
    <font>
      <name val="Calibri"/>
      <b val="1"/>
      <color rgb="00154D31"/>
      <sz val="12"/>
    </font>
    <font>
      <name val="Calibri"/>
      <b val="1"/>
      <color rgb="00FFFFFF"/>
      <sz val="11"/>
    </font>
    <font>
      <b val="1"/>
      <color rgb="00FFFFFF"/>
    </font>
    <font>
      <name val="Calibri"/>
      <color rgb="002A2722"/>
      <sz val="10"/>
    </font>
    <font>
      <b val="1"/>
      <color rgb="00154D31"/>
    </font>
  </fonts>
  <fills count="4">
    <fill>
      <patternFill/>
    </fill>
    <fill>
      <patternFill patternType="gray125"/>
    </fill>
    <fill>
      <patternFill patternType="solid">
        <fgColor rgb="00F4EFE6"/>
      </patternFill>
    </fill>
    <fill>
      <patternFill patternType="solid">
        <fgColor rgb="001F6E4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/>
    </xf>
    <xf numFmtId="3" fontId="0" fillId="0" borderId="1" pivotButton="0" quotePrefix="0" xfId="0"/>
    <xf numFmtId="10" fontId="0" fillId="0" borderId="1" pivotButton="0" quotePrefix="0" xfId="0"/>
    <xf numFmtId="0" fontId="5" fillId="3" borderId="0" pivotButton="0" quotePrefix="0" xfId="0"/>
    <xf numFmtId="0" fontId="5" fillId="3" borderId="1" pivotButton="0" quotePrefix="0" xfId="0"/>
    <xf numFmtId="10" fontId="5" fillId="3" borderId="1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6" fillId="0" borderId="1" pivotButton="0" quotePrefix="0" xfId="0"/>
    <xf numFmtId="3" fontId="7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5" fillId="3" borderId="0" pivotButton="0" quotePrefix="0" xfId="0"/>
    <xf numFmtId="10" fontId="5" fillId="3" borderId="0" pivotButton="0" quotePrefix="0" xfId="0"/>
    <xf numFmtId="164" fontId="5" fillId="3" borderId="0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4" customWidth="1" min="4" max="4"/>
    <col width="28" customWidth="1" min="5" max="5"/>
  </cols>
  <sheetData>
    <row r="1">
      <c r="A1" s="1" t="inlineStr">
        <is>
          <t>Jobab — cap table</t>
        </is>
      </c>
    </row>
    <row r="2">
      <c r="A2" s="2" t="inlineStr">
        <is>
          <t>Pre-seed snapshot. Update when anything changes — every investor will ask for the latest version.</t>
        </is>
      </c>
    </row>
    <row r="3">
      <c r="A3" s="2" t="inlineStr">
        <is>
          <t>Last updated: [insert date]</t>
        </is>
      </c>
    </row>
    <row r="5">
      <c r="A5" s="3" t="inlineStr">
        <is>
          <t>FOUNDERS</t>
        </is>
      </c>
    </row>
    <row r="6">
      <c r="A6" s="4" t="inlineStr">
        <is>
          <t>Holder</t>
        </is>
      </c>
      <c r="B6" s="4" t="inlineStr">
        <is>
          <t>Role</t>
        </is>
      </c>
      <c r="C6" s="4" t="inlineStr">
        <is>
          <t>Shares</t>
        </is>
      </c>
      <c r="D6" s="4" t="inlineStr">
        <is>
          <t>% (fully diluted)</t>
        </is>
      </c>
      <c r="E6" s="4" t="inlineStr">
        <is>
          <t>Vesting</t>
        </is>
      </c>
    </row>
    <row r="7">
      <c r="A7" t="inlineStr">
        <is>
          <t>[Founder name]</t>
        </is>
      </c>
      <c r="B7" t="inlineStr">
        <is>
          <t>Founder, CEO</t>
        </is>
      </c>
      <c r="C7" s="5" t="n">
        <v>8000000</v>
      </c>
      <c r="D7" s="6">
        <f>C7/$C$25</f>
        <v/>
      </c>
      <c r="E7" t="inlineStr">
        <is>
          <t>4-year vest, 1-year cliff</t>
        </is>
      </c>
    </row>
    <row r="9">
      <c r="A9" s="3" t="inlineStr">
        <is>
          <t>CO-FOUNDERS (if any)</t>
        </is>
      </c>
    </row>
    <row r="10">
      <c r="A10" s="4" t="inlineStr">
        <is>
          <t>Holder</t>
        </is>
      </c>
      <c r="B10" s="4" t="inlineStr">
        <is>
          <t>Role</t>
        </is>
      </c>
      <c r="C10" s="4" t="inlineStr">
        <is>
          <t>Shares</t>
        </is>
      </c>
      <c r="D10" s="4" t="inlineStr">
        <is>
          <t>% (fully diluted)</t>
        </is>
      </c>
      <c r="E10" s="4" t="inlineStr">
        <is>
          <t>Vesting</t>
        </is>
      </c>
    </row>
    <row r="11">
      <c r="A11" t="inlineStr">
        <is>
          <t>[Co-founder name, if any]</t>
        </is>
      </c>
      <c r="B11" t="inlineStr">
        <is>
          <t>[Role]</t>
        </is>
      </c>
      <c r="C11" s="5" t="n">
        <v>0</v>
      </c>
      <c r="D11" s="6">
        <f>C11/$C$25</f>
        <v/>
      </c>
      <c r="E11" t="inlineStr"/>
    </row>
    <row r="13">
      <c r="A13" s="3" t="inlineStr">
        <is>
          <t>EMPLOYEE STOCK OPTION POOL (ESOP)</t>
        </is>
      </c>
    </row>
    <row r="14">
      <c r="A14" s="4" t="inlineStr">
        <is>
          <t>Holder</t>
        </is>
      </c>
      <c r="B14" s="4" t="inlineStr">
        <is>
          <t>Role</t>
        </is>
      </c>
      <c r="C14" s="4" t="inlineStr">
        <is>
          <t>Shares</t>
        </is>
      </c>
      <c r="D14" s="4" t="inlineStr">
        <is>
          <t>% (fully diluted)</t>
        </is>
      </c>
      <c r="E14" s="4" t="inlineStr">
        <is>
          <t>Vesting</t>
        </is>
      </c>
    </row>
    <row r="15">
      <c r="A15" t="inlineStr">
        <is>
          <t>ESOP pool (unallocated)</t>
        </is>
      </c>
      <c r="B15" t="inlineStr">
        <is>
          <t>Reserved for hires</t>
        </is>
      </c>
      <c r="C15" s="5" t="n">
        <v>2000000</v>
      </c>
      <c r="D15" s="6">
        <f>C15/$C$25</f>
        <v/>
      </c>
      <c r="E15" t="inlineStr">
        <is>
          <t>Allocate per hire</t>
        </is>
      </c>
    </row>
    <row r="16">
      <c r="A16" t="inlineStr">
        <is>
          <t>[Senior engineer]</t>
        </is>
      </c>
      <c r="B16" t="inlineStr">
        <is>
          <t>Allocated (when hired)</t>
        </is>
      </c>
      <c r="C16" s="5" t="n">
        <v>0</v>
      </c>
      <c r="D16" s="6">
        <f>C16/$C$25</f>
        <v/>
      </c>
      <c r="E16" t="inlineStr">
        <is>
          <t>4yr / 1yr cliff</t>
        </is>
      </c>
    </row>
    <row r="17">
      <c r="A17" t="inlineStr">
        <is>
          <t>[Merchant ops]</t>
        </is>
      </c>
      <c r="B17" t="inlineStr">
        <is>
          <t>Allocated (when hired)</t>
        </is>
      </c>
      <c r="C17" s="5" t="n">
        <v>0</v>
      </c>
      <c r="D17" s="6">
        <f>C17/$C$25</f>
        <v/>
      </c>
      <c r="E17" t="inlineStr">
        <is>
          <t>4yr / 1yr cliff</t>
        </is>
      </c>
    </row>
    <row r="19">
      <c r="A19" s="3" t="inlineStr">
        <is>
          <t>ADVISORS (if any)</t>
        </is>
      </c>
    </row>
    <row r="20">
      <c r="A20" s="4" t="inlineStr">
        <is>
          <t>Holder</t>
        </is>
      </c>
      <c r="B20" s="4" t="inlineStr">
        <is>
          <t>Role</t>
        </is>
      </c>
      <c r="C20" s="4" t="inlineStr">
        <is>
          <t>Shares</t>
        </is>
      </c>
      <c r="D20" s="4" t="inlineStr">
        <is>
          <t>% (fully diluted)</t>
        </is>
      </c>
      <c r="E20" s="4" t="inlineStr">
        <is>
          <t>Vesting</t>
        </is>
      </c>
    </row>
    <row r="21">
      <c r="A21" t="inlineStr">
        <is>
          <t>[Advisor name]</t>
        </is>
      </c>
      <c r="B21" t="inlineStr">
        <is>
          <t>Strategic advisor</t>
        </is>
      </c>
      <c r="C21" s="5" t="n">
        <v>0</v>
      </c>
      <c r="D21" s="6">
        <f>C21/$C$25</f>
        <v/>
      </c>
      <c r="E21" t="inlineStr">
        <is>
          <t>2yr vest, 6mo cliff</t>
        </is>
      </c>
    </row>
    <row r="23">
      <c r="A23" s="3" t="inlineStr">
        <is>
          <t>INVESTORS (after first close)</t>
        </is>
      </c>
    </row>
    <row r="24">
      <c r="A24" s="4" t="inlineStr">
        <is>
          <t>Holder</t>
        </is>
      </c>
      <c r="B24" s="4" t="inlineStr">
        <is>
          <t>Role</t>
        </is>
      </c>
      <c r="C24" s="4" t="inlineStr">
        <is>
          <t>Shares</t>
        </is>
      </c>
      <c r="D24" s="4" t="inlineStr">
        <is>
          <t>% (fully diluted)</t>
        </is>
      </c>
      <c r="E24" s="4" t="inlineStr">
        <is>
          <t>Vesting</t>
        </is>
      </c>
    </row>
    <row r="25">
      <c r="A25" s="7" t="inlineStr">
        <is>
          <t>TOTAL (fully diluted)</t>
        </is>
      </c>
      <c r="C25" s="8">
        <f>C7+C11+C15+C16+C17+C21</f>
        <v/>
      </c>
      <c r="D25" s="9">
        <f>SUM(D7,D11,D15,D16,D17,D21)</f>
        <v/>
      </c>
    </row>
  </sheetData>
  <mergeCells count="7">
    <mergeCell ref="A2:E2"/>
    <mergeCell ref="A19:E19"/>
    <mergeCell ref="A1:E1"/>
    <mergeCell ref="A5:E5"/>
    <mergeCell ref="A23:E23"/>
    <mergeCell ref="A13:E13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Cap table — after $400K seed close</t>
        </is>
      </c>
    </row>
    <row r="2">
      <c r="A2" s="2" t="inlineStr">
        <is>
          <t>Assumes $400K at $4M post-money (10% dilution).</t>
        </is>
      </c>
    </row>
    <row r="4">
      <c r="A4" s="3" t="inlineStr">
        <is>
          <t>DEAL TERMS (edit these)</t>
        </is>
      </c>
    </row>
    <row r="5">
      <c r="A5" t="inlineStr">
        <is>
          <t>Round size (USD)</t>
        </is>
      </c>
      <c r="B5" s="10" t="n">
        <v>400000</v>
      </c>
    </row>
    <row r="6">
      <c r="A6" t="inlineStr">
        <is>
          <t>Post-money valuation (USD)</t>
        </is>
      </c>
      <c r="B6" s="10" t="n">
        <v>4000000</v>
      </c>
    </row>
    <row r="7">
      <c r="A7" t="inlineStr">
        <is>
          <t>Pre-money valuation</t>
        </is>
      </c>
      <c r="B7" s="10">
        <f>B6-B5</f>
        <v/>
      </c>
    </row>
    <row r="8">
      <c r="A8" t="inlineStr">
        <is>
          <t>Investor % (post-money)</t>
        </is>
      </c>
      <c r="B8" s="11">
        <f>B5/B6</f>
        <v/>
      </c>
    </row>
    <row r="9">
      <c r="A9" t="inlineStr">
        <is>
          <t>Pre-round share count</t>
        </is>
      </c>
      <c r="B9" s="12" t="n">
        <v>10000000</v>
      </c>
    </row>
    <row r="10">
      <c r="A10" t="inlineStr">
        <is>
          <t>New investor shares</t>
        </is>
      </c>
      <c r="B10" s="12">
        <f>B9*B8/(1-B8)</f>
        <v/>
      </c>
    </row>
    <row r="11">
      <c r="A11" t="inlineStr">
        <is>
          <t>Total shares post-close</t>
        </is>
      </c>
      <c r="B11" s="12">
        <f>B9+B10</f>
        <v/>
      </c>
    </row>
    <row r="12">
      <c r="A12" t="inlineStr">
        <is>
          <t>Share price (USD)</t>
        </is>
      </c>
      <c r="B12" s="13">
        <f>B6/B11</f>
        <v/>
      </c>
    </row>
    <row r="14">
      <c r="A14" s="3" t="inlineStr">
        <is>
          <t>POST-CLOSE HOLDINGS</t>
        </is>
      </c>
    </row>
    <row r="15">
      <c r="A15" s="4" t="inlineStr">
        <is>
          <t>Holder</t>
        </is>
      </c>
      <c r="B15" s="4" t="inlineStr">
        <is>
          <t>Shares</t>
        </is>
      </c>
      <c r="C15" s="4" t="inlineStr">
        <is>
          <t>% (post-close)</t>
        </is>
      </c>
      <c r="D15" s="4" t="inlineStr">
        <is>
          <t>$ value</t>
        </is>
      </c>
      <c r="E15" s="4" t="inlineStr">
        <is>
          <t>Notes</t>
        </is>
      </c>
    </row>
    <row r="16">
      <c r="A16" s="14" t="inlineStr">
        <is>
          <t>Founder</t>
        </is>
      </c>
      <c r="B16" s="15" t="n">
        <v>8000000</v>
      </c>
      <c r="C16" s="6">
        <f>B16/$B$11</f>
        <v/>
      </c>
      <c r="D16" s="16">
        <f>B16*$B$12</f>
        <v/>
      </c>
      <c r="E16" s="17" t="inlineStr">
        <is>
          <t>Diluted from 80% → 72%</t>
        </is>
      </c>
    </row>
    <row r="17">
      <c r="A17" s="14" t="inlineStr">
        <is>
          <t>Co-founder (if any)</t>
        </is>
      </c>
      <c r="B17" s="15" t="n">
        <v>0</v>
      </c>
      <c r="C17" s="6">
        <f>B17/$B$11</f>
        <v/>
      </c>
      <c r="D17" s="16">
        <f>B17*$B$12</f>
        <v/>
      </c>
      <c r="E17" s="17" t="inlineStr"/>
    </row>
    <row r="18">
      <c r="A18" s="14" t="inlineStr">
        <is>
          <t>ESOP pool</t>
        </is>
      </c>
      <c r="B18" s="15" t="n">
        <v>2000000</v>
      </c>
      <c r="C18" s="6">
        <f>B18/$B$11</f>
        <v/>
      </c>
      <c r="D18" s="16">
        <f>B18*$B$12</f>
        <v/>
      </c>
      <c r="E18" s="17" t="inlineStr">
        <is>
          <t>May need top-up to keep ESOP at 20% post-round</t>
        </is>
      </c>
    </row>
    <row r="19">
      <c r="A19" s="14" t="inlineStr">
        <is>
          <t>Lead investor</t>
        </is>
      </c>
      <c r="B19" s="15">
        <f>B10</f>
        <v/>
      </c>
      <c r="C19" s="6">
        <f>B19/$B$11</f>
        <v/>
      </c>
      <c r="D19" s="16">
        <f>B19*$B$12</f>
        <v/>
      </c>
      <c r="E19" s="17" t="inlineStr">
        <is>
          <t>Per deal terms above</t>
        </is>
      </c>
    </row>
    <row r="20">
      <c r="A20" s="7" t="inlineStr">
        <is>
          <t>TOTAL</t>
        </is>
      </c>
      <c r="B20" s="18">
        <f>SUM(B16:B19)</f>
        <v/>
      </c>
      <c r="C20" s="19">
        <f>SUM(C16:C19)</f>
        <v/>
      </c>
      <c r="D20" s="20">
        <f>B20*B12</f>
        <v/>
      </c>
    </row>
  </sheetData>
  <mergeCells count="4">
    <mergeCell ref="A2:E2"/>
    <mergeCell ref="A1:E1"/>
    <mergeCell ref="A4:B4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How to use this cap table</t>
        </is>
      </c>
    </row>
    <row r="3">
      <c r="A3" s="21" t="inlineStr">
        <is>
          <t>WHAT THIS IS</t>
        </is>
      </c>
    </row>
    <row r="4">
      <c r="A4" t="inlineStr">
        <is>
          <t>A simple pre-seed cap table template. Update it every time anything changes.</t>
        </is>
      </c>
    </row>
    <row r="5">
      <c r="A5" s="22" t="inlineStr"/>
    </row>
    <row r="6">
      <c r="A6" s="21" t="inlineStr">
        <is>
          <t>BEFORE THE FIRST INVESTOR MEETING</t>
        </is>
      </c>
    </row>
    <row r="7">
      <c r="A7" s="22" t="inlineStr">
        <is>
          <t xml:space="preserve">  Fill in [Founder name], any co-founders, and the date.</t>
        </is>
      </c>
    </row>
    <row r="8">
      <c r="A8" s="22" t="inlineStr">
        <is>
          <t xml:space="preserve">  If you have advisors with equity already, add them.</t>
        </is>
      </c>
    </row>
    <row r="9">
      <c r="A9" s="22" t="inlineStr">
        <is>
          <t xml:space="preserve">  Make sure the totals add to exactly 100%.</t>
        </is>
      </c>
    </row>
    <row r="10">
      <c r="A10" s="22" t="inlineStr"/>
    </row>
    <row r="11">
      <c r="A11" s="21" t="inlineStr">
        <is>
          <t>ON THE 'POST-SEED' TAB</t>
        </is>
      </c>
    </row>
    <row r="12">
      <c r="A12" s="22" t="inlineStr">
        <is>
          <t xml:space="preserve">  Edit the deal terms (round size + post-money valuation).</t>
        </is>
      </c>
    </row>
    <row r="13">
      <c r="A13" s="22" t="inlineStr">
        <is>
          <t xml:space="preserve">  The math handles dilution + ESOP top-up suggestions for you.</t>
        </is>
      </c>
    </row>
    <row r="14">
      <c r="A14" s="22" t="inlineStr">
        <is>
          <t xml:space="preserve">  Save a copy when you have a real term sheet.</t>
        </is>
      </c>
    </row>
    <row r="15">
      <c r="A15" s="22" t="inlineStr"/>
    </row>
    <row r="16">
      <c r="A16" s="21" t="inlineStr">
        <is>
          <t>WHEN AN INVESTOR ASKS FOR THE CAP TABLE</t>
        </is>
      </c>
    </row>
    <row r="17">
      <c r="A17" s="22" t="inlineStr">
        <is>
          <t xml:space="preserve">  Send a clean PDF export of the 'Current' tab.</t>
        </is>
      </c>
    </row>
    <row r="18">
      <c r="A18" s="22" t="inlineStr">
        <is>
          <t xml:space="preserve">  Don't share the editable Excel until you've signed an NDA.</t>
        </is>
      </c>
    </row>
    <row r="19">
      <c r="A19" s="22" t="inlineStr">
        <is>
          <t xml:space="preserve">  Update the 'Last updated' date before sending.</t>
        </is>
      </c>
    </row>
    <row r="20">
      <c r="A20" s="22" t="inlineStr"/>
    </row>
    <row r="21">
      <c r="A21" s="22" t="inlineStr">
        <is>
          <t>VOCABULARY (so you don't get lost in investor jargon)</t>
        </is>
      </c>
    </row>
    <row r="22">
      <c r="A22" s="22" t="inlineStr">
        <is>
          <t xml:space="preserve">  Fully diluted: total shares if every option were exercised</t>
        </is>
      </c>
    </row>
    <row r="23">
      <c r="A23" s="22" t="inlineStr">
        <is>
          <t xml:space="preserve">  Pre-money: company value BEFORE the new investment</t>
        </is>
      </c>
    </row>
    <row r="24">
      <c r="A24" s="22" t="inlineStr">
        <is>
          <t xml:space="preserve">  Post-money: company value AFTER the new investment (pre + new round)</t>
        </is>
      </c>
    </row>
    <row r="25">
      <c r="A25" s="22" t="inlineStr">
        <is>
          <t xml:space="preserve">  Dilution: your % goes down when new shares are issued</t>
        </is>
      </c>
    </row>
    <row r="26">
      <c r="A26" s="22" t="inlineStr">
        <is>
          <t xml:space="preserve">  ESOP: pool of shares set aside for future employees</t>
        </is>
      </c>
    </row>
    <row r="27">
      <c r="A27" s="22" t="inlineStr">
        <is>
          <t xml:space="preserve">  Vesting: shares earned over time, not granted instantly</t>
        </is>
      </c>
    </row>
    <row r="28">
      <c r="A28" s="22" t="inlineStr">
        <is>
          <t xml:space="preserve">  Cliff: minimum service period before any shares vest</t>
        </is>
      </c>
    </row>
    <row r="29">
      <c r="A29" s="22" t="inlineStr">
        <is>
          <t xml:space="preserve">  Anti-dilution: contractual protection against down rounds</t>
        </is>
      </c>
    </row>
    <row r="30">
      <c r="A30" s="22" t="inlineStr">
        <is>
          <t xml:space="preserve">  Liquidation preference: investor gets paid first in an exit</t>
        </is>
      </c>
    </row>
    <row r="31">
      <c r="A31" s="22" t="inlineStr"/>
    </row>
    <row r="32">
      <c r="A32" s="21" t="inlineStr">
        <is>
          <t>RED FLAGS TO PUSH BACK ON</t>
        </is>
      </c>
    </row>
    <row r="33">
      <c r="A33" s="22" t="inlineStr">
        <is>
          <t xml:space="preserve">  &gt; 2x liquidation preference — anything above 1x non-participating is aggressive</t>
        </is>
      </c>
    </row>
    <row r="34">
      <c r="A34" s="22" t="inlineStr">
        <is>
          <t xml:space="preserve">  ESOP top-up coming entirely from founder shares (should be shared with investors)</t>
        </is>
      </c>
    </row>
    <row r="35">
      <c r="A35" s="22" t="inlineStr">
        <is>
          <t xml:space="preserve">  Founder vesting reset on funding — your existing time should count</t>
        </is>
      </c>
    </row>
    <row r="36">
      <c r="A36" s="22" t="inlineStr">
        <is>
          <t xml:space="preserve">  &gt; 25% dilution at seed — you'll run out of room by Series A</t>
        </is>
      </c>
    </row>
    <row r="37">
      <c r="A37" s="22" t="inlineStr"/>
    </row>
    <row r="38">
      <c r="A38" s="21" t="inlineStr">
        <is>
          <t>GET A LAWYER</t>
        </is>
      </c>
    </row>
    <row r="39">
      <c r="A39" s="22" t="inlineStr">
        <is>
          <t xml:space="preserve">  Before signing a term sheet, get a Bangladeshi corporate lawyer to review.</t>
        </is>
      </c>
    </row>
    <row r="40">
      <c r="A40" s="22" t="inlineStr">
        <is>
          <t xml:space="preserve">  This template is for planning, not for legal commitments.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2026-05-30T19:48:23Z</dcterms:created>
  <dcterms:modified xmlns:dcterms="http://purl.org/dc/terms/" xmlns:xsi="http://www.w3.org/2001/XMLSchema-instance" xsi:type="dcterms:W3CDTF">2026-05-30T19:48:23Z</dcterms:modified>
</cp:coreProperties>
</file>