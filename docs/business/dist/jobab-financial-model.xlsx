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nthly P&amp;L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Use of fu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&quot;$&quot;#,##0;&quot;($&quot;#,##0&quot;)&quot;"/>
    <numFmt numFmtId="166" formatCode="&quot;$&quot;#,##0"/>
  </numFmts>
  <fonts count="14">
    <font>
      <name val="Calibri"/>
      <family val="2"/>
      <color theme="1"/>
      <sz val="11"/>
      <scheme val="minor"/>
    </font>
    <font>
      <name val="Calibri"/>
      <b val="1"/>
      <color rgb="00154D31"/>
      <sz val="18"/>
    </font>
    <font>
      <name val="Calibri"/>
      <i val="1"/>
      <color rgb="006C645A"/>
      <sz val="10"/>
    </font>
    <font>
      <name val="Calibri"/>
      <b val="1"/>
      <color rgb="00154D31"/>
      <sz val="12"/>
    </font>
    <font>
      <name val="Calibri"/>
      <color rgb="002A2722"/>
      <sz val="10"/>
    </font>
    <font>
      <name val="Calibri"/>
      <b val="1"/>
      <color rgb="00154D31"/>
      <sz val="11"/>
    </font>
    <font>
      <name val="Calibri"/>
      <b val="1"/>
      <color rgb="00FFFFFF"/>
      <sz val="11"/>
    </font>
    <font>
      <name val="Calibri"/>
      <b val="1"/>
      <color rgb="00154D31"/>
      <sz val="10"/>
    </font>
    <font>
      <name val="Calibri"/>
      <b val="1"/>
      <color rgb="002A2722"/>
      <sz val="10"/>
    </font>
    <font>
      <b val="1"/>
      <color rgb="00154D31"/>
    </font>
    <font>
      <b val="1"/>
      <color rgb="009A6B0E"/>
    </font>
    <font>
      <b val="1"/>
      <color rgb="00FFFFFF"/>
    </font>
    <font>
      <name val="Calibri"/>
      <b val="1"/>
      <color rgb="00154D31"/>
      <sz val="24"/>
    </font>
    <font>
      <name val="Calibri"/>
      <i val="1"/>
      <color rgb="006C645A"/>
      <sz val="12"/>
    </font>
  </fonts>
  <fills count="5">
    <fill>
      <patternFill/>
    </fill>
    <fill>
      <patternFill patternType="gray125"/>
    </fill>
    <fill>
      <patternFill patternType="solid">
        <fgColor rgb="00F4EFE6"/>
      </patternFill>
    </fill>
    <fill>
      <patternFill patternType="solid">
        <fgColor rgb="001F6E47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9" fillId="0" borderId="0" pivotButton="0" quotePrefix="0" xfId="0"/>
    <xf numFmtId="0" fontId="1" fillId="0" borderId="0" pivotButton="0" quotePrefix="0" xfId="0"/>
    <xf numFmtId="164" fontId="5" fillId="0" borderId="0" applyAlignment="1" pivotButton="0" quotePrefix="0" xfId="0">
      <alignment horizontal="right"/>
    </xf>
    <xf numFmtId="9" fontId="5" fillId="0" borderId="0" applyAlignment="1" pivotButton="0" quotePrefix="0" xfId="0">
      <alignment horizontal="right"/>
    </xf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4" fillId="0" borderId="1" pivotButton="0" quotePrefix="0" xfId="0"/>
    <xf numFmtId="0" fontId="7" fillId="4" borderId="0" pivotButton="0" quotePrefix="0" xfId="0"/>
    <xf numFmtId="0" fontId="8" fillId="4" borderId="0" pivotButton="0" quotePrefix="0" xfId="0"/>
    <xf numFmtId="165" fontId="4" fillId="4" borderId="1" pivotButton="0" quotePrefix="0" xfId="0"/>
    <xf numFmtId="0" fontId="6" fillId="3" borderId="0" applyAlignment="1" pivotButton="0" quotePrefix="0" xfId="0">
      <alignment horizontal="center"/>
    </xf>
    <xf numFmtId="166" fontId="9" fillId="0" borderId="0" pivotButton="0" quotePrefix="0" xfId="0"/>
    <xf numFmtId="9" fontId="10" fillId="0" borderId="0" applyAlignment="1" pivotButton="0" quotePrefix="0" xfId="0">
      <alignment horizontal="right"/>
    </xf>
    <xf numFmtId="0" fontId="11" fillId="3" borderId="0" pivotButton="0" quotePrefix="0" xfId="0"/>
    <xf numFmtId="166" fontId="11" fillId="3" borderId="0" pivotButton="0" quotePrefix="0" xfId="0"/>
    <xf numFmtId="9" fontId="1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over 36 months (USD)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P&amp;L'!D3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P&amp;L'!$A$4:$A$39</f>
            </numRef>
          </cat>
          <val>
            <numRef>
              <f>'Monthly P&amp;L'!$D$4:$D$39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MRR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Paying merchants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P&amp;L'!B3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P&amp;L'!$A$4:$A$39</f>
            </numRef>
          </cat>
          <val>
            <numRef>
              <f>'Monthly P&amp;L'!$B$4:$B$39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Merchants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cash burn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P&amp;L'!M3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P&amp;L'!$A$4:$A$39</f>
            </numRef>
          </cat>
          <val>
            <numRef>
              <f>'Monthly P&amp;L'!$M$4:$M$39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Jobab</t>
        </is>
      </c>
    </row>
    <row r="2">
      <c r="A2" s="2" t="inlineStr">
        <is>
          <t>AI shop assistant for Bangladeshi merchants</t>
        </is>
      </c>
    </row>
    <row r="3">
      <c r="A3" s="3" t="inlineStr">
        <is>
          <t>Pre-seed financial model · 36 months · all USD</t>
        </is>
      </c>
    </row>
    <row r="5">
      <c r="A5" s="4" t="inlineStr">
        <is>
          <t>AT A GLANCE</t>
        </is>
      </c>
    </row>
    <row r="7">
      <c r="A7" s="5" t="inlineStr">
        <is>
          <t>Target raise</t>
        </is>
      </c>
      <c r="B7" s="6" t="inlineStr">
        <is>
          <t>$400,000</t>
        </is>
      </c>
    </row>
    <row r="8">
      <c r="A8" s="5" t="inlineStr">
        <is>
          <t>Months runway</t>
        </is>
      </c>
      <c r="B8" s="6" t="inlineStr">
        <is>
          <t>18</t>
        </is>
      </c>
    </row>
    <row r="9">
      <c r="A9" s="5" t="inlineStr">
        <is>
          <t>Merchants by EOY1</t>
        </is>
      </c>
      <c r="B9" s="6" t="inlineStr">
        <is>
          <t>100</t>
        </is>
      </c>
    </row>
    <row r="10">
      <c r="A10" s="5" t="inlineStr">
        <is>
          <t>MRR by EOY1</t>
        </is>
      </c>
      <c r="B10" s="6" t="inlineStr">
        <is>
          <t>$1,700</t>
        </is>
      </c>
    </row>
    <row r="11">
      <c r="A11" s="5" t="inlineStr">
        <is>
          <t>Merchants by EOY2</t>
        </is>
      </c>
      <c r="B11" s="6" t="inlineStr">
        <is>
          <t>500</t>
        </is>
      </c>
    </row>
    <row r="12">
      <c r="A12" s="5" t="inlineStr">
        <is>
          <t>MRR by EOY2</t>
        </is>
      </c>
      <c r="B12" s="6" t="inlineStr">
        <is>
          <t>$14,000</t>
        </is>
      </c>
    </row>
    <row r="13">
      <c r="A13" s="5" t="inlineStr">
        <is>
          <t>Merchants by EOY3</t>
        </is>
      </c>
      <c r="B13" s="6" t="inlineStr">
        <is>
          <t>1,200</t>
        </is>
      </c>
    </row>
    <row r="14">
      <c r="A14" s="5" t="inlineStr">
        <is>
          <t>MRR by EOY3</t>
        </is>
      </c>
      <c r="B14" s="6" t="inlineStr">
        <is>
          <t>$33,600</t>
        </is>
      </c>
    </row>
    <row r="15">
      <c r="A15" s="5" t="inlineStr">
        <is>
          <t>Cash-flow positive</t>
        </is>
      </c>
      <c r="B15" s="6" t="inlineStr">
        <is>
          <t>Month 24</t>
        </is>
      </c>
    </row>
    <row r="16">
      <c r="A16" s="5" t="inlineStr">
        <is>
          <t>LTV : CAC target</t>
        </is>
      </c>
      <c r="B16" s="6" t="inlineStr">
        <is>
          <t>17 : 1</t>
        </is>
      </c>
    </row>
    <row r="17">
      <c r="A17" s="5" t="inlineStr">
        <is>
          <t>Gross margin (Growth tier)</t>
        </is>
      </c>
      <c r="B17" s="6" t="inlineStr">
        <is>
          <t>~85%</t>
        </is>
      </c>
    </row>
    <row r="20">
      <c r="A20" s="4" t="inlineStr">
        <is>
          <t>SHEETS IN THIS WORKBOOK</t>
        </is>
      </c>
    </row>
    <row r="22">
      <c r="A22" s="7" t="inlineStr">
        <is>
          <t>Assumptions</t>
        </is>
      </c>
      <c r="B22" s="3" t="inlineStr">
        <is>
          <t>Tweak any number — P&amp;L recalculates</t>
        </is>
      </c>
    </row>
    <row r="23">
      <c r="A23" s="7" t="inlineStr">
        <is>
          <t>Monthly P&amp;L</t>
        </is>
      </c>
      <c r="B23" s="3" t="inlineStr">
        <is>
          <t>36-month revenue + cost projection</t>
        </is>
      </c>
    </row>
    <row r="24">
      <c r="A24" s="7" t="inlineStr">
        <is>
          <t>Charts</t>
        </is>
      </c>
      <c r="B24" s="3" t="inlineStr">
        <is>
          <t>MRR / merchants / burn visualisations</t>
        </is>
      </c>
    </row>
    <row r="25">
      <c r="A25" s="7" t="inlineStr">
        <is>
          <t>Use of funds</t>
        </is>
      </c>
      <c r="B25" s="3" t="inlineStr">
        <is>
          <t>Where the $400K goes</t>
        </is>
      </c>
    </row>
  </sheetData>
  <mergeCells count="2">
    <mergeCell ref="A20:B20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36" customWidth="1" min="3" max="3"/>
  </cols>
  <sheetData>
    <row r="1">
      <c r="A1" s="8" t="inlineStr">
        <is>
          <t>Jobab — financial model assumptions</t>
        </is>
      </c>
    </row>
    <row r="2">
      <c r="A2" s="3" t="inlineStr">
        <is>
          <t>All revenue numbers in USD. 1 USD ≈ ৳110. Tweak any cell — P&amp;L recalculates.</t>
        </is>
      </c>
    </row>
    <row r="4">
      <c r="A4" s="4" t="inlineStr">
        <is>
          <t>PRICING &amp; MIX</t>
        </is>
      </c>
    </row>
    <row r="5">
      <c r="A5" s="5" t="inlineStr">
        <is>
          <t>Starter price (USD/mo)</t>
        </is>
      </c>
      <c r="B5" s="9" t="n">
        <v>9</v>
      </c>
      <c r="C5" s="3" t="inlineStr">
        <is>
          <t>৳999</t>
        </is>
      </c>
    </row>
    <row r="6">
      <c r="A6" s="5" t="inlineStr">
        <is>
          <t>Growth price (USD/mo)</t>
        </is>
      </c>
      <c r="B6" s="9" t="n">
        <v>27</v>
      </c>
      <c r="C6" s="3" t="inlineStr">
        <is>
          <t>৳2,999</t>
        </is>
      </c>
    </row>
    <row r="7">
      <c r="A7" s="5" t="inlineStr">
        <is>
          <t>Pro price (USD/mo)</t>
        </is>
      </c>
      <c r="B7" s="9" t="n">
        <v>73</v>
      </c>
      <c r="C7" s="3" t="inlineStr">
        <is>
          <t>৳7,999</t>
        </is>
      </c>
    </row>
    <row r="8">
      <c r="A8" s="5" t="inlineStr">
        <is>
          <t>Plan mix — Starter (Y1)</t>
        </is>
      </c>
      <c r="B8" s="10" t="n">
        <v>0.6</v>
      </c>
      <c r="C8" s="3" t="inlineStr">
        <is>
          <t>%</t>
        </is>
      </c>
    </row>
    <row r="9">
      <c r="A9" s="5" t="inlineStr">
        <is>
          <t>Plan mix — Growth (Y1)</t>
        </is>
      </c>
      <c r="B9" s="10" t="n">
        <v>0.3</v>
      </c>
      <c r="C9" s="3" t="inlineStr">
        <is>
          <t>%</t>
        </is>
      </c>
    </row>
    <row r="10">
      <c r="A10" s="5" t="inlineStr">
        <is>
          <t>Plan mix — Pro (Y1)</t>
        </is>
      </c>
      <c r="B10" s="10" t="n">
        <v>0.1</v>
      </c>
      <c r="C10" s="3" t="inlineStr">
        <is>
          <t>%</t>
        </is>
      </c>
    </row>
    <row r="11">
      <c r="A11" s="5" t="inlineStr">
        <is>
          <t>Plan mix — Starter (Y2+)</t>
        </is>
      </c>
      <c r="B11" s="10" t="n">
        <v>0.4</v>
      </c>
      <c r="C11" s="3" t="inlineStr">
        <is>
          <t>%</t>
        </is>
      </c>
    </row>
    <row r="12">
      <c r="A12" s="5" t="inlineStr">
        <is>
          <t>Plan mix — Growth (Y2+)</t>
        </is>
      </c>
      <c r="B12" s="10" t="n">
        <v>0.45</v>
      </c>
      <c r="C12" s="3" t="inlineStr">
        <is>
          <t>%</t>
        </is>
      </c>
    </row>
    <row r="13">
      <c r="A13" s="5" t="inlineStr">
        <is>
          <t>Plan mix — Pro (Y2+)</t>
        </is>
      </c>
      <c r="B13" s="10" t="n">
        <v>0.15</v>
      </c>
      <c r="C13" s="3" t="inlineStr">
        <is>
          <t>%</t>
        </is>
      </c>
    </row>
    <row r="14">
      <c r="A14" s="4" t="inlineStr"/>
    </row>
    <row r="15">
      <c r="A15" s="4" t="inlineStr">
        <is>
          <t>UNIT ECONOMICS</t>
        </is>
      </c>
    </row>
    <row r="16">
      <c r="A16" s="5" t="inlineStr">
        <is>
          <t>COGS per conversation (USD)</t>
        </is>
      </c>
      <c r="B16" s="9" t="n">
        <v>0.003</v>
      </c>
      <c r="C16" s="3" t="inlineStr">
        <is>
          <t>Groq + vision + embeddings</t>
        </is>
      </c>
    </row>
    <row r="17">
      <c r="A17" s="5" t="inlineStr">
        <is>
          <t>Conversations per merchant/mo</t>
        </is>
      </c>
      <c r="B17" s="6" t="n">
        <v>1500</v>
      </c>
      <c r="C17" s="3" t="inlineStr">
        <is>
          <t>Average</t>
        </is>
      </c>
    </row>
    <row r="18">
      <c r="A18" s="5" t="inlineStr">
        <is>
          <t>Fixed infra cost (USD/mo)</t>
        </is>
      </c>
      <c r="B18" s="9" t="n">
        <v>100</v>
      </c>
      <c r="C18" s="3" t="inlineStr">
        <is>
          <t>Hosting + DB + Redis</t>
        </is>
      </c>
    </row>
    <row r="19">
      <c r="A19" s="5" t="inlineStr">
        <is>
          <t>Monthly logo churn</t>
        </is>
      </c>
      <c r="B19" s="10" t="n">
        <v>0.04</v>
      </c>
      <c r="C19" s="3" t="inlineStr">
        <is>
          <t>4% — SMB SaaS norm in EM</t>
        </is>
      </c>
    </row>
    <row r="20">
      <c r="A20" s="4" t="inlineStr"/>
    </row>
    <row r="21">
      <c r="A21" s="4" t="inlineStr">
        <is>
          <t>ACQUISITION</t>
        </is>
      </c>
    </row>
    <row r="22">
      <c r="A22" s="5" t="inlineStr">
        <is>
          <t>CAC (USD)</t>
        </is>
      </c>
      <c r="B22" s="9" t="n">
        <v>32</v>
      </c>
      <c r="C22" s="3" t="inlineStr">
        <is>
          <t>৳3,500</t>
        </is>
      </c>
    </row>
    <row r="23">
      <c r="A23" s="5" t="inlineStr">
        <is>
          <t>Trial → paid conversion</t>
        </is>
      </c>
      <c r="B23" s="10" t="n">
        <v>0.4</v>
      </c>
      <c r="C23" s="3" t="inlineStr">
        <is>
          <t>40% activation</t>
        </is>
      </c>
    </row>
    <row r="24">
      <c r="A24" s="5" t="inlineStr">
        <is>
          <t>Average merchant lifetime (months)</t>
        </is>
      </c>
      <c r="B24" s="6" t="n">
        <v>25</v>
      </c>
      <c r="C24" s="3">
        <f> 1 / churn</f>
        <v/>
      </c>
    </row>
    <row r="25">
      <c r="A25" s="4" t="inlineStr"/>
    </row>
    <row r="26">
      <c r="A26" s="4" t="inlineStr">
        <is>
          <t>HIRING (USD/mo cost)</t>
        </is>
      </c>
    </row>
    <row r="27">
      <c r="A27" s="5" t="inlineStr">
        <is>
          <t>Founder</t>
        </is>
      </c>
      <c r="B27" s="6" t="n">
        <v>1360</v>
      </c>
      <c r="C27" s="3" t="inlineStr">
        <is>
          <t>M1+</t>
        </is>
      </c>
    </row>
    <row r="28">
      <c r="A28" s="5" t="inlineStr">
        <is>
          <t>Senior engineer</t>
        </is>
      </c>
      <c r="B28" s="6" t="n">
        <v>1820</v>
      </c>
      <c r="C28" s="3" t="inlineStr">
        <is>
          <t>M4+</t>
        </is>
      </c>
    </row>
    <row r="29">
      <c r="A29" s="5" t="inlineStr">
        <is>
          <t>Merchant ops</t>
        </is>
      </c>
      <c r="B29" s="6" t="n">
        <v>730</v>
      </c>
      <c r="C29" s="3" t="inlineStr">
        <is>
          <t>M6+</t>
        </is>
      </c>
    </row>
    <row r="30">
      <c r="A30" s="5" t="inlineStr">
        <is>
          <t>Fractional CFO</t>
        </is>
      </c>
      <c r="B30" s="6" t="n">
        <v>545</v>
      </c>
      <c r="C30" s="3" t="inlineStr">
        <is>
          <t>M12+</t>
        </is>
      </c>
    </row>
    <row r="31">
      <c r="A31" s="5" t="inlineStr">
        <is>
          <t>Second engineer</t>
        </is>
      </c>
      <c r="B31" s="6" t="n">
        <v>1635</v>
      </c>
      <c r="C31" s="3" t="inlineStr">
        <is>
          <t>M18+</t>
        </is>
      </c>
    </row>
    <row r="32">
      <c r="A32" s="5" t="inlineStr">
        <is>
          <t>BD lead</t>
        </is>
      </c>
      <c r="B32" s="6" t="n">
        <v>1090</v>
      </c>
      <c r="C32" s="3" t="inlineStr">
        <is>
          <t>M24+</t>
        </is>
      </c>
    </row>
    <row r="33">
      <c r="A33" s="4" t="inlineStr"/>
    </row>
    <row r="34">
      <c r="A34" s="4" t="inlineStr">
        <is>
          <t>OTHER OPEX</t>
        </is>
      </c>
    </row>
    <row r="35">
      <c r="A35" s="5" t="inlineStr">
        <is>
          <t>Marketing — early (USD/mo)</t>
        </is>
      </c>
      <c r="B35" s="9" t="n">
        <v>500</v>
      </c>
      <c r="C35" s="3" t="inlineStr">
        <is>
          <t>M1–M12</t>
        </is>
      </c>
    </row>
    <row r="36">
      <c r="A36" s="5" t="inlineStr">
        <is>
          <t>Marketing — late (USD/mo)</t>
        </is>
      </c>
      <c r="B36" s="9" t="n">
        <v>2000</v>
      </c>
      <c r="C36" s="3" t="inlineStr">
        <is>
          <t>M13+</t>
        </is>
      </c>
    </row>
    <row r="37">
      <c r="A37" s="5" t="inlineStr">
        <is>
          <t>Legal + accounting (USD/mo)</t>
        </is>
      </c>
      <c r="B37" s="9" t="n">
        <v>200</v>
      </c>
      <c r="C37" s="3" t="inlineStr"/>
    </row>
    <row r="38">
      <c r="A38" s="5" t="inlineStr">
        <is>
          <t>Software (USD/mo)</t>
        </is>
      </c>
      <c r="B38" s="9" t="n">
        <v>100</v>
      </c>
      <c r="C38" s="3" t="inlineStr"/>
    </row>
    <row r="39">
      <c r="A39" s="5" t="inlineStr">
        <is>
          <t>Office (USD/mo)</t>
        </is>
      </c>
      <c r="B39" s="9" t="n">
        <v>300</v>
      </c>
      <c r="C39" s="3" t="inlineStr"/>
    </row>
  </sheetData>
  <mergeCells count="11">
    <mergeCell ref="A25:C25"/>
    <mergeCell ref="A33:C33"/>
    <mergeCell ref="A26:C26"/>
    <mergeCell ref="A1:C1"/>
    <mergeCell ref="A14:C14"/>
    <mergeCell ref="A21:C21"/>
    <mergeCell ref="A34:C34"/>
    <mergeCell ref="A15:C15"/>
    <mergeCell ref="A4:C4"/>
    <mergeCell ref="A20:C2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8" t="inlineStr">
        <is>
          <t>Monthly P&amp;L — 36-month projection (USD)</t>
        </is>
      </c>
    </row>
    <row r="3">
      <c r="A3" s="11" t="inlineStr">
        <is>
          <t>Month</t>
        </is>
      </c>
      <c r="B3" s="11" t="inlineStr">
        <is>
          <t>Merchants (end)</t>
        </is>
      </c>
      <c r="C3" s="11" t="inlineStr">
        <is>
          <t>Blended ARPU</t>
        </is>
      </c>
      <c r="D3" s="11" t="inlineStr">
        <is>
          <t>MRR</t>
        </is>
      </c>
      <c r="E3" s="11" t="inlineStr">
        <is>
          <t>COGS</t>
        </is>
      </c>
      <c r="F3" s="11" t="inlineStr">
        <is>
          <t>Gross profit</t>
        </is>
      </c>
      <c r="G3" s="11" t="inlineStr">
        <is>
          <t>Salaries</t>
        </is>
      </c>
      <c r="H3" s="11" t="inlineStr">
        <is>
          <t>Marketing</t>
        </is>
      </c>
      <c r="I3" s="11" t="inlineStr">
        <is>
          <t>Infra</t>
        </is>
      </c>
      <c r="J3" s="11" t="inlineStr">
        <is>
          <t>Other OpEx</t>
        </is>
      </c>
      <c r="K3" s="11" t="inlineStr">
        <is>
          <t>Total OpEx</t>
        </is>
      </c>
      <c r="L3" s="11" t="inlineStr">
        <is>
          <t>Net (burn)</t>
        </is>
      </c>
      <c r="M3" s="11" t="inlineStr">
        <is>
          <t>Cumulative burn</t>
        </is>
      </c>
      <c r="N3" s="11" t="inlineStr">
        <is>
          <t>ARR</t>
        </is>
      </c>
    </row>
    <row r="4">
      <c r="A4" s="12" t="inlineStr">
        <is>
          <t>M1</t>
        </is>
      </c>
      <c r="B4" s="13" t="n">
        <v>0</v>
      </c>
      <c r="C4" s="14">
        <f>Assumptions!$B$5*Assumptions!$B$8+Assumptions!$B$6*Assumptions!$B$9+Assumptions!$B$7*Assumptions!$B$10</f>
        <v/>
      </c>
      <c r="D4" s="14">
        <f>B4*C4</f>
        <v/>
      </c>
      <c r="E4" s="14">
        <f>B4*Assumptions!$B$18*Assumptions!$B$17</f>
        <v/>
      </c>
      <c r="F4" s="14">
        <f>D4-E4</f>
        <v/>
      </c>
      <c r="G4" s="14">
        <f>Assumptions!$B$28</f>
        <v/>
      </c>
      <c r="H4" s="14">
        <f>Assumptions!$B$36</f>
        <v/>
      </c>
      <c r="I4" s="14">
        <f>Assumptions!$B$19+IF(B4&gt;500,B4*0.4,0)</f>
        <v/>
      </c>
      <c r="J4" s="14">
        <f>Assumptions!$B$38+Assumptions!$B$39+Assumptions!$B$40</f>
        <v/>
      </c>
      <c r="K4" s="14">
        <f>G4+H4+I4+J4</f>
        <v/>
      </c>
      <c r="L4" s="14">
        <f>F4-K4</f>
        <v/>
      </c>
      <c r="M4" s="14">
        <f>L4</f>
        <v/>
      </c>
      <c r="N4" s="14">
        <f>D4*12</f>
        <v/>
      </c>
    </row>
    <row r="5">
      <c r="A5" s="15" t="inlineStr">
        <is>
          <t>M2</t>
        </is>
      </c>
      <c r="B5" s="16" t="n">
        <v>0</v>
      </c>
      <c r="C5" s="17">
        <f>Assumptions!$B$5*Assumptions!$B$8+Assumptions!$B$6*Assumptions!$B$9+Assumptions!$B$7*Assumptions!$B$10</f>
        <v/>
      </c>
      <c r="D5" s="17">
        <f>B5*C5</f>
        <v/>
      </c>
      <c r="E5" s="17">
        <f>B5*Assumptions!$B$18*Assumptions!$B$17</f>
        <v/>
      </c>
      <c r="F5" s="17">
        <f>D5-E5</f>
        <v/>
      </c>
      <c r="G5" s="17">
        <f>Assumptions!$B$28</f>
        <v/>
      </c>
      <c r="H5" s="17">
        <f>Assumptions!$B$36</f>
        <v/>
      </c>
      <c r="I5" s="17">
        <f>Assumptions!$B$19+IF(B5&gt;500,B5*0.4,0)</f>
        <v/>
      </c>
      <c r="J5" s="17">
        <f>Assumptions!$B$38+Assumptions!$B$39+Assumptions!$B$40</f>
        <v/>
      </c>
      <c r="K5" s="17">
        <f>G5+H5+I5+J5</f>
        <v/>
      </c>
      <c r="L5" s="17">
        <f>F5-K5</f>
        <v/>
      </c>
      <c r="M5" s="17">
        <f>M4+L5</f>
        <v/>
      </c>
      <c r="N5" s="17">
        <f>D5*12</f>
        <v/>
      </c>
    </row>
    <row r="6">
      <c r="A6" s="12" t="inlineStr">
        <is>
          <t>M3</t>
        </is>
      </c>
      <c r="B6" s="13" t="n">
        <v>0</v>
      </c>
      <c r="C6" s="14">
        <f>Assumptions!$B$5*Assumptions!$B$8+Assumptions!$B$6*Assumptions!$B$9+Assumptions!$B$7*Assumptions!$B$10</f>
        <v/>
      </c>
      <c r="D6" s="14">
        <f>B6*C6</f>
        <v/>
      </c>
      <c r="E6" s="14">
        <f>B6*Assumptions!$B$18*Assumptions!$B$17</f>
        <v/>
      </c>
      <c r="F6" s="14">
        <f>D6-E6</f>
        <v/>
      </c>
      <c r="G6" s="14">
        <f>Assumptions!$B$28</f>
        <v/>
      </c>
      <c r="H6" s="14">
        <f>Assumptions!$B$36</f>
        <v/>
      </c>
      <c r="I6" s="14">
        <f>Assumptions!$B$19+IF(B6&gt;500,B6*0.4,0)</f>
        <v/>
      </c>
      <c r="J6" s="14">
        <f>Assumptions!$B$38+Assumptions!$B$39+Assumptions!$B$40</f>
        <v/>
      </c>
      <c r="K6" s="14">
        <f>G6+H6+I6+J6</f>
        <v/>
      </c>
      <c r="L6" s="14">
        <f>F6-K6</f>
        <v/>
      </c>
      <c r="M6" s="14">
        <f>M5+L6</f>
        <v/>
      </c>
      <c r="N6" s="14">
        <f>D6*12</f>
        <v/>
      </c>
    </row>
    <row r="7">
      <c r="A7" s="15" t="inlineStr">
        <is>
          <t>M4</t>
        </is>
      </c>
      <c r="B7" s="16" t="n">
        <v>8</v>
      </c>
      <c r="C7" s="17">
        <f>Assumptions!$B$5*Assumptions!$B$8+Assumptions!$B$6*Assumptions!$B$9+Assumptions!$B$7*Assumptions!$B$10</f>
        <v/>
      </c>
      <c r="D7" s="17">
        <f>B7*C7</f>
        <v/>
      </c>
      <c r="E7" s="17">
        <f>B7*Assumptions!$B$18*Assumptions!$B$17</f>
        <v/>
      </c>
      <c r="F7" s="17">
        <f>D7-E7</f>
        <v/>
      </c>
      <c r="G7" s="17">
        <f>Assumptions!$B$28+Assumptions!$B$29</f>
        <v/>
      </c>
      <c r="H7" s="17">
        <f>Assumptions!$B$36</f>
        <v/>
      </c>
      <c r="I7" s="17">
        <f>Assumptions!$B$19+IF(B7&gt;500,B7*0.4,0)</f>
        <v/>
      </c>
      <c r="J7" s="17">
        <f>Assumptions!$B$38+Assumptions!$B$39+Assumptions!$B$40</f>
        <v/>
      </c>
      <c r="K7" s="17">
        <f>G7+H7+I7+J7</f>
        <v/>
      </c>
      <c r="L7" s="17">
        <f>F7-K7</f>
        <v/>
      </c>
      <c r="M7" s="17">
        <f>M6+L7</f>
        <v/>
      </c>
      <c r="N7" s="17">
        <f>D7*12</f>
        <v/>
      </c>
    </row>
    <row r="8">
      <c r="A8" s="12" t="inlineStr">
        <is>
          <t>M5</t>
        </is>
      </c>
      <c r="B8" s="13" t="n">
        <v>15</v>
      </c>
      <c r="C8" s="14">
        <f>Assumptions!$B$5*Assumptions!$B$8+Assumptions!$B$6*Assumptions!$B$9+Assumptions!$B$7*Assumptions!$B$10</f>
        <v/>
      </c>
      <c r="D8" s="14">
        <f>B8*C8</f>
        <v/>
      </c>
      <c r="E8" s="14">
        <f>B8*Assumptions!$B$18*Assumptions!$B$17</f>
        <v/>
      </c>
      <c r="F8" s="14">
        <f>D8-E8</f>
        <v/>
      </c>
      <c r="G8" s="14">
        <f>Assumptions!$B$28+Assumptions!$B$29</f>
        <v/>
      </c>
      <c r="H8" s="14">
        <f>Assumptions!$B$36</f>
        <v/>
      </c>
      <c r="I8" s="14">
        <f>Assumptions!$B$19+IF(B8&gt;500,B8*0.4,0)</f>
        <v/>
      </c>
      <c r="J8" s="14">
        <f>Assumptions!$B$38+Assumptions!$B$39+Assumptions!$B$40</f>
        <v/>
      </c>
      <c r="K8" s="14">
        <f>G8+H8+I8+J8</f>
        <v/>
      </c>
      <c r="L8" s="14">
        <f>F8-K8</f>
        <v/>
      </c>
      <c r="M8" s="14">
        <f>M7+L8</f>
        <v/>
      </c>
      <c r="N8" s="14">
        <f>D8*12</f>
        <v/>
      </c>
    </row>
    <row r="9">
      <c r="A9" s="15" t="inlineStr">
        <is>
          <t>M6</t>
        </is>
      </c>
      <c r="B9" s="16" t="n">
        <v>25</v>
      </c>
      <c r="C9" s="17">
        <f>Assumptions!$B$5*Assumptions!$B$8+Assumptions!$B$6*Assumptions!$B$9+Assumptions!$B$7*Assumptions!$B$10</f>
        <v/>
      </c>
      <c r="D9" s="17">
        <f>B9*C9</f>
        <v/>
      </c>
      <c r="E9" s="17">
        <f>B9*Assumptions!$B$18*Assumptions!$B$17</f>
        <v/>
      </c>
      <c r="F9" s="17">
        <f>D9-E9</f>
        <v/>
      </c>
      <c r="G9" s="17">
        <f>Assumptions!$B$28+Assumptions!$B$29+Assumptions!$B$30</f>
        <v/>
      </c>
      <c r="H9" s="17">
        <f>Assumptions!$B$36</f>
        <v/>
      </c>
      <c r="I9" s="17">
        <f>Assumptions!$B$19+IF(B9&gt;500,B9*0.4,0)</f>
        <v/>
      </c>
      <c r="J9" s="17">
        <f>Assumptions!$B$38+Assumptions!$B$39+Assumptions!$B$40</f>
        <v/>
      </c>
      <c r="K9" s="17">
        <f>G9+H9+I9+J9</f>
        <v/>
      </c>
      <c r="L9" s="17">
        <f>F9-K9</f>
        <v/>
      </c>
      <c r="M9" s="17">
        <f>M8+L9</f>
        <v/>
      </c>
      <c r="N9" s="17">
        <f>D9*12</f>
        <v/>
      </c>
    </row>
    <row r="10">
      <c r="A10" s="12" t="inlineStr">
        <is>
          <t>M7</t>
        </is>
      </c>
      <c r="B10" s="13" t="n">
        <v>38</v>
      </c>
      <c r="C10" s="14">
        <f>Assumptions!$B$5*Assumptions!$B$8+Assumptions!$B$6*Assumptions!$B$9+Assumptions!$B$7*Assumptions!$B$10</f>
        <v/>
      </c>
      <c r="D10" s="14">
        <f>B10*C10</f>
        <v/>
      </c>
      <c r="E10" s="14">
        <f>B10*Assumptions!$B$18*Assumptions!$B$17</f>
        <v/>
      </c>
      <c r="F10" s="14">
        <f>D10-E10</f>
        <v/>
      </c>
      <c r="G10" s="14">
        <f>Assumptions!$B$28+Assumptions!$B$29+Assumptions!$B$30</f>
        <v/>
      </c>
      <c r="H10" s="14">
        <f>Assumptions!$B$36</f>
        <v/>
      </c>
      <c r="I10" s="14">
        <f>Assumptions!$B$19+IF(B10&gt;500,B10*0.4,0)</f>
        <v/>
      </c>
      <c r="J10" s="14">
        <f>Assumptions!$B$38+Assumptions!$B$39+Assumptions!$B$40</f>
        <v/>
      </c>
      <c r="K10" s="14">
        <f>G10+H10+I10+J10</f>
        <v/>
      </c>
      <c r="L10" s="14">
        <f>F10-K10</f>
        <v/>
      </c>
      <c r="M10" s="14">
        <f>M9+L10</f>
        <v/>
      </c>
      <c r="N10" s="14">
        <f>D10*12</f>
        <v/>
      </c>
    </row>
    <row r="11">
      <c r="A11" s="15" t="inlineStr">
        <is>
          <t>M8</t>
        </is>
      </c>
      <c r="B11" s="16" t="n">
        <v>48</v>
      </c>
      <c r="C11" s="17">
        <f>Assumptions!$B$5*Assumptions!$B$8+Assumptions!$B$6*Assumptions!$B$9+Assumptions!$B$7*Assumptions!$B$10</f>
        <v/>
      </c>
      <c r="D11" s="17">
        <f>B11*C11</f>
        <v/>
      </c>
      <c r="E11" s="17">
        <f>B11*Assumptions!$B$18*Assumptions!$B$17</f>
        <v/>
      </c>
      <c r="F11" s="17">
        <f>D11-E11</f>
        <v/>
      </c>
      <c r="G11" s="17">
        <f>Assumptions!$B$28+Assumptions!$B$29+Assumptions!$B$30</f>
        <v/>
      </c>
      <c r="H11" s="17">
        <f>Assumptions!$B$36</f>
        <v/>
      </c>
      <c r="I11" s="17">
        <f>Assumptions!$B$19+IF(B11&gt;500,B11*0.4,0)</f>
        <v/>
      </c>
      <c r="J11" s="17">
        <f>Assumptions!$B$38+Assumptions!$B$39+Assumptions!$B$40</f>
        <v/>
      </c>
      <c r="K11" s="17">
        <f>G11+H11+I11+J11</f>
        <v/>
      </c>
      <c r="L11" s="17">
        <f>F11-K11</f>
        <v/>
      </c>
      <c r="M11" s="17">
        <f>M10+L11</f>
        <v/>
      </c>
      <c r="N11" s="17">
        <f>D11*12</f>
        <v/>
      </c>
    </row>
    <row r="12">
      <c r="A12" s="12" t="inlineStr">
        <is>
          <t>M9</t>
        </is>
      </c>
      <c r="B12" s="13" t="n">
        <v>60</v>
      </c>
      <c r="C12" s="14">
        <f>Assumptions!$B$5*Assumptions!$B$8+Assumptions!$B$6*Assumptions!$B$9+Assumptions!$B$7*Assumptions!$B$10</f>
        <v/>
      </c>
      <c r="D12" s="14">
        <f>B12*C12</f>
        <v/>
      </c>
      <c r="E12" s="14">
        <f>B12*Assumptions!$B$18*Assumptions!$B$17</f>
        <v/>
      </c>
      <c r="F12" s="14">
        <f>D12-E12</f>
        <v/>
      </c>
      <c r="G12" s="14">
        <f>Assumptions!$B$28+Assumptions!$B$29+Assumptions!$B$30</f>
        <v/>
      </c>
      <c r="H12" s="14">
        <f>Assumptions!$B$36</f>
        <v/>
      </c>
      <c r="I12" s="14">
        <f>Assumptions!$B$19+IF(B12&gt;500,B12*0.4,0)</f>
        <v/>
      </c>
      <c r="J12" s="14">
        <f>Assumptions!$B$38+Assumptions!$B$39+Assumptions!$B$40</f>
        <v/>
      </c>
      <c r="K12" s="14">
        <f>G12+H12+I12+J12</f>
        <v/>
      </c>
      <c r="L12" s="14">
        <f>F12-K12</f>
        <v/>
      </c>
      <c r="M12" s="14">
        <f>M11+L12</f>
        <v/>
      </c>
      <c r="N12" s="14">
        <f>D12*12</f>
        <v/>
      </c>
    </row>
    <row r="13">
      <c r="A13" s="15" t="inlineStr">
        <is>
          <t>M10</t>
        </is>
      </c>
      <c r="B13" s="16" t="n">
        <v>72</v>
      </c>
      <c r="C13" s="17">
        <f>Assumptions!$B$5*Assumptions!$B$8+Assumptions!$B$6*Assumptions!$B$9+Assumptions!$B$7*Assumptions!$B$10</f>
        <v/>
      </c>
      <c r="D13" s="17">
        <f>B13*C13</f>
        <v/>
      </c>
      <c r="E13" s="17">
        <f>B13*Assumptions!$B$18*Assumptions!$B$17</f>
        <v/>
      </c>
      <c r="F13" s="17">
        <f>D13-E13</f>
        <v/>
      </c>
      <c r="G13" s="17">
        <f>Assumptions!$B$28+Assumptions!$B$29+Assumptions!$B$30</f>
        <v/>
      </c>
      <c r="H13" s="17">
        <f>Assumptions!$B$36</f>
        <v/>
      </c>
      <c r="I13" s="17">
        <f>Assumptions!$B$19+IF(B13&gt;500,B13*0.4,0)</f>
        <v/>
      </c>
      <c r="J13" s="17">
        <f>Assumptions!$B$38+Assumptions!$B$39+Assumptions!$B$40</f>
        <v/>
      </c>
      <c r="K13" s="17">
        <f>G13+H13+I13+J13</f>
        <v/>
      </c>
      <c r="L13" s="17">
        <f>F13-K13</f>
        <v/>
      </c>
      <c r="M13" s="17">
        <f>M12+L13</f>
        <v/>
      </c>
      <c r="N13" s="17">
        <f>D13*12</f>
        <v/>
      </c>
    </row>
    <row r="14">
      <c r="A14" s="12" t="inlineStr">
        <is>
          <t>M11</t>
        </is>
      </c>
      <c r="B14" s="13" t="n">
        <v>86</v>
      </c>
      <c r="C14" s="14">
        <f>Assumptions!$B$5*Assumptions!$B$8+Assumptions!$B$6*Assumptions!$B$9+Assumptions!$B$7*Assumptions!$B$10</f>
        <v/>
      </c>
      <c r="D14" s="14">
        <f>B14*C14</f>
        <v/>
      </c>
      <c r="E14" s="14">
        <f>B14*Assumptions!$B$18*Assumptions!$B$17</f>
        <v/>
      </c>
      <c r="F14" s="14">
        <f>D14-E14</f>
        <v/>
      </c>
      <c r="G14" s="14">
        <f>Assumptions!$B$28+Assumptions!$B$29+Assumptions!$B$30</f>
        <v/>
      </c>
      <c r="H14" s="14">
        <f>Assumptions!$B$36</f>
        <v/>
      </c>
      <c r="I14" s="14">
        <f>Assumptions!$B$19+IF(B14&gt;500,B14*0.4,0)</f>
        <v/>
      </c>
      <c r="J14" s="14">
        <f>Assumptions!$B$38+Assumptions!$B$39+Assumptions!$B$40</f>
        <v/>
      </c>
      <c r="K14" s="14">
        <f>G14+H14+I14+J14</f>
        <v/>
      </c>
      <c r="L14" s="14">
        <f>F14-K14</f>
        <v/>
      </c>
      <c r="M14" s="14">
        <f>M13+L14</f>
        <v/>
      </c>
      <c r="N14" s="14">
        <f>D14*12</f>
        <v/>
      </c>
    </row>
    <row r="15">
      <c r="A15" s="15" t="inlineStr">
        <is>
          <t>M12</t>
        </is>
      </c>
      <c r="B15" s="16" t="n">
        <v>100</v>
      </c>
      <c r="C15" s="17">
        <f>Assumptions!$B$5*Assumptions!$B$8+Assumptions!$B$6*Assumptions!$B$9+Assumptions!$B$7*Assumptions!$B$10</f>
        <v/>
      </c>
      <c r="D15" s="17">
        <f>B15*C15</f>
        <v/>
      </c>
      <c r="E15" s="17">
        <f>B15*Assumptions!$B$18*Assumptions!$B$17</f>
        <v/>
      </c>
      <c r="F15" s="17">
        <f>D15-E15</f>
        <v/>
      </c>
      <c r="G15" s="17">
        <f>Assumptions!$B$28+Assumptions!$B$29+Assumptions!$B$30+Assumptions!$B$31</f>
        <v/>
      </c>
      <c r="H15" s="17">
        <f>Assumptions!$B$36</f>
        <v/>
      </c>
      <c r="I15" s="17">
        <f>Assumptions!$B$19+IF(B15&gt;500,B15*0.4,0)</f>
        <v/>
      </c>
      <c r="J15" s="17">
        <f>Assumptions!$B$38+Assumptions!$B$39+Assumptions!$B$40</f>
        <v/>
      </c>
      <c r="K15" s="17">
        <f>G15+H15+I15+J15</f>
        <v/>
      </c>
      <c r="L15" s="17">
        <f>F15-K15</f>
        <v/>
      </c>
      <c r="M15" s="17">
        <f>M14+L15</f>
        <v/>
      </c>
      <c r="N15" s="17">
        <f>D15*12</f>
        <v/>
      </c>
    </row>
    <row r="16">
      <c r="A16" s="12" t="inlineStr">
        <is>
          <t>M13</t>
        </is>
      </c>
      <c r="B16" s="13" t="n">
        <v>118</v>
      </c>
      <c r="C16" s="14">
        <f>Assumptions!$B$5*Assumptions!$B$11+Assumptions!$B$6*Assumptions!$B$12+Assumptions!$B$7*Assumptions!$B$13</f>
        <v/>
      </c>
      <c r="D16" s="14">
        <f>B16*C16</f>
        <v/>
      </c>
      <c r="E16" s="14">
        <f>B16*Assumptions!$B$18*Assumptions!$B$17</f>
        <v/>
      </c>
      <c r="F16" s="14">
        <f>D16-E16</f>
        <v/>
      </c>
      <c r="G16" s="14">
        <f>Assumptions!$B$28+Assumptions!$B$29+Assumptions!$B$30+Assumptions!$B$31</f>
        <v/>
      </c>
      <c r="H16" s="14">
        <f>Assumptions!$B$37</f>
        <v/>
      </c>
      <c r="I16" s="14">
        <f>Assumptions!$B$19+IF(B16&gt;500,B16*0.4,0)</f>
        <v/>
      </c>
      <c r="J16" s="14">
        <f>Assumptions!$B$38+Assumptions!$B$39+Assumptions!$B$40</f>
        <v/>
      </c>
      <c r="K16" s="14">
        <f>G16+H16+I16+J16</f>
        <v/>
      </c>
      <c r="L16" s="14">
        <f>F16-K16</f>
        <v/>
      </c>
      <c r="M16" s="14">
        <f>M15+L16</f>
        <v/>
      </c>
      <c r="N16" s="14">
        <f>D16*12</f>
        <v/>
      </c>
    </row>
    <row r="17">
      <c r="A17" s="15" t="inlineStr">
        <is>
          <t>M14</t>
        </is>
      </c>
      <c r="B17" s="16" t="n">
        <v>138</v>
      </c>
      <c r="C17" s="17">
        <f>Assumptions!$B$5*Assumptions!$B$11+Assumptions!$B$6*Assumptions!$B$12+Assumptions!$B$7*Assumptions!$B$13</f>
        <v/>
      </c>
      <c r="D17" s="17">
        <f>B17*C17</f>
        <v/>
      </c>
      <c r="E17" s="17">
        <f>B17*Assumptions!$B$18*Assumptions!$B$17</f>
        <v/>
      </c>
      <c r="F17" s="17">
        <f>D17-E17</f>
        <v/>
      </c>
      <c r="G17" s="17">
        <f>Assumptions!$B$28+Assumptions!$B$29+Assumptions!$B$30+Assumptions!$B$31</f>
        <v/>
      </c>
      <c r="H17" s="17">
        <f>Assumptions!$B$37</f>
        <v/>
      </c>
      <c r="I17" s="17">
        <f>Assumptions!$B$19+IF(B17&gt;500,B17*0.4,0)</f>
        <v/>
      </c>
      <c r="J17" s="17">
        <f>Assumptions!$B$38+Assumptions!$B$39+Assumptions!$B$40</f>
        <v/>
      </c>
      <c r="K17" s="17">
        <f>G17+H17+I17+J17</f>
        <v/>
      </c>
      <c r="L17" s="17">
        <f>F17-K17</f>
        <v/>
      </c>
      <c r="M17" s="17">
        <f>M16+L17</f>
        <v/>
      </c>
      <c r="N17" s="17">
        <f>D17*12</f>
        <v/>
      </c>
    </row>
    <row r="18">
      <c r="A18" s="12" t="inlineStr">
        <is>
          <t>M15</t>
        </is>
      </c>
      <c r="B18" s="13" t="n">
        <v>160</v>
      </c>
      <c r="C18" s="14">
        <f>Assumptions!$B$5*Assumptions!$B$11+Assumptions!$B$6*Assumptions!$B$12+Assumptions!$B$7*Assumptions!$B$13</f>
        <v/>
      </c>
      <c r="D18" s="14">
        <f>B18*C18</f>
        <v/>
      </c>
      <c r="E18" s="14">
        <f>B18*Assumptions!$B$18*Assumptions!$B$17</f>
        <v/>
      </c>
      <c r="F18" s="14">
        <f>D18-E18</f>
        <v/>
      </c>
      <c r="G18" s="14">
        <f>Assumptions!$B$28+Assumptions!$B$29+Assumptions!$B$30+Assumptions!$B$31</f>
        <v/>
      </c>
      <c r="H18" s="14">
        <f>Assumptions!$B$37</f>
        <v/>
      </c>
      <c r="I18" s="14">
        <f>Assumptions!$B$19+IF(B18&gt;500,B18*0.4,0)</f>
        <v/>
      </c>
      <c r="J18" s="14">
        <f>Assumptions!$B$38+Assumptions!$B$39+Assumptions!$B$40</f>
        <v/>
      </c>
      <c r="K18" s="14">
        <f>G18+H18+I18+J18</f>
        <v/>
      </c>
      <c r="L18" s="14">
        <f>F18-K18</f>
        <v/>
      </c>
      <c r="M18" s="14">
        <f>M17+L18</f>
        <v/>
      </c>
      <c r="N18" s="14">
        <f>D18*12</f>
        <v/>
      </c>
    </row>
    <row r="19">
      <c r="A19" s="15" t="inlineStr">
        <is>
          <t>M16</t>
        </is>
      </c>
      <c r="B19" s="16" t="n">
        <v>184</v>
      </c>
      <c r="C19" s="17">
        <f>Assumptions!$B$5*Assumptions!$B$11+Assumptions!$B$6*Assumptions!$B$12+Assumptions!$B$7*Assumptions!$B$13</f>
        <v/>
      </c>
      <c r="D19" s="17">
        <f>B19*C19</f>
        <v/>
      </c>
      <c r="E19" s="17">
        <f>B19*Assumptions!$B$18*Assumptions!$B$17</f>
        <v/>
      </c>
      <c r="F19" s="17">
        <f>D19-E19</f>
        <v/>
      </c>
      <c r="G19" s="17">
        <f>Assumptions!$B$28+Assumptions!$B$29+Assumptions!$B$30+Assumptions!$B$31</f>
        <v/>
      </c>
      <c r="H19" s="17">
        <f>Assumptions!$B$37</f>
        <v/>
      </c>
      <c r="I19" s="17">
        <f>Assumptions!$B$19+IF(B19&gt;500,B19*0.4,0)</f>
        <v/>
      </c>
      <c r="J19" s="17">
        <f>Assumptions!$B$38+Assumptions!$B$39+Assumptions!$B$40</f>
        <v/>
      </c>
      <c r="K19" s="17">
        <f>G19+H19+I19+J19</f>
        <v/>
      </c>
      <c r="L19" s="17">
        <f>F19-K19</f>
        <v/>
      </c>
      <c r="M19" s="17">
        <f>M18+L19</f>
        <v/>
      </c>
      <c r="N19" s="17">
        <f>D19*12</f>
        <v/>
      </c>
    </row>
    <row r="20">
      <c r="A20" s="12" t="inlineStr">
        <is>
          <t>M17</t>
        </is>
      </c>
      <c r="B20" s="13" t="n">
        <v>210</v>
      </c>
      <c r="C20" s="14">
        <f>Assumptions!$B$5*Assumptions!$B$11+Assumptions!$B$6*Assumptions!$B$12+Assumptions!$B$7*Assumptions!$B$13</f>
        <v/>
      </c>
      <c r="D20" s="14">
        <f>B20*C20</f>
        <v/>
      </c>
      <c r="E20" s="14">
        <f>B20*Assumptions!$B$18*Assumptions!$B$17</f>
        <v/>
      </c>
      <c r="F20" s="14">
        <f>D20-E20</f>
        <v/>
      </c>
      <c r="G20" s="14">
        <f>Assumptions!$B$28+Assumptions!$B$29+Assumptions!$B$30+Assumptions!$B$31</f>
        <v/>
      </c>
      <c r="H20" s="14">
        <f>Assumptions!$B$37</f>
        <v/>
      </c>
      <c r="I20" s="14">
        <f>Assumptions!$B$19+IF(B20&gt;500,B20*0.4,0)</f>
        <v/>
      </c>
      <c r="J20" s="14">
        <f>Assumptions!$B$38+Assumptions!$B$39+Assumptions!$B$40</f>
        <v/>
      </c>
      <c r="K20" s="14">
        <f>G20+H20+I20+J20</f>
        <v/>
      </c>
      <c r="L20" s="14">
        <f>F20-K20</f>
        <v/>
      </c>
      <c r="M20" s="14">
        <f>M19+L20</f>
        <v/>
      </c>
      <c r="N20" s="14">
        <f>D20*12</f>
        <v/>
      </c>
    </row>
    <row r="21">
      <c r="A21" s="15" t="inlineStr">
        <is>
          <t>M18</t>
        </is>
      </c>
      <c r="B21" s="16" t="n">
        <v>250</v>
      </c>
      <c r="C21" s="17">
        <f>Assumptions!$B$5*Assumptions!$B$11+Assumptions!$B$6*Assumptions!$B$12+Assumptions!$B$7*Assumptions!$B$13</f>
        <v/>
      </c>
      <c r="D21" s="17">
        <f>B21*C21</f>
        <v/>
      </c>
      <c r="E21" s="17">
        <f>B21*Assumptions!$B$18*Assumptions!$B$17</f>
        <v/>
      </c>
      <c r="F21" s="17">
        <f>D21-E21</f>
        <v/>
      </c>
      <c r="G21" s="17">
        <f>Assumptions!$B$28+Assumptions!$B$29+Assumptions!$B$30+Assumptions!$B$31+Assumptions!$B$32</f>
        <v/>
      </c>
      <c r="H21" s="17">
        <f>Assumptions!$B$37</f>
        <v/>
      </c>
      <c r="I21" s="17">
        <f>Assumptions!$B$19+IF(B21&gt;500,B21*0.4,0)</f>
        <v/>
      </c>
      <c r="J21" s="17">
        <f>Assumptions!$B$38+Assumptions!$B$39+Assumptions!$B$40</f>
        <v/>
      </c>
      <c r="K21" s="17">
        <f>G21+H21+I21+J21</f>
        <v/>
      </c>
      <c r="L21" s="17">
        <f>F21-K21</f>
        <v/>
      </c>
      <c r="M21" s="17">
        <f>M20+L21</f>
        <v/>
      </c>
      <c r="N21" s="17">
        <f>D21*12</f>
        <v/>
      </c>
    </row>
    <row r="22">
      <c r="A22" s="12" t="inlineStr">
        <is>
          <t>M19</t>
        </is>
      </c>
      <c r="B22" s="13" t="n">
        <v>290</v>
      </c>
      <c r="C22" s="14">
        <f>Assumptions!$B$5*Assumptions!$B$11+Assumptions!$B$6*Assumptions!$B$12+Assumptions!$B$7*Assumptions!$B$13</f>
        <v/>
      </c>
      <c r="D22" s="14">
        <f>B22*C22</f>
        <v/>
      </c>
      <c r="E22" s="14">
        <f>B22*Assumptions!$B$18*Assumptions!$B$17</f>
        <v/>
      </c>
      <c r="F22" s="14">
        <f>D22-E22</f>
        <v/>
      </c>
      <c r="G22" s="14">
        <f>Assumptions!$B$28+Assumptions!$B$29+Assumptions!$B$30+Assumptions!$B$31+Assumptions!$B$32</f>
        <v/>
      </c>
      <c r="H22" s="14">
        <f>Assumptions!$B$37</f>
        <v/>
      </c>
      <c r="I22" s="14">
        <f>Assumptions!$B$19+IF(B22&gt;500,B22*0.4,0)</f>
        <v/>
      </c>
      <c r="J22" s="14">
        <f>Assumptions!$B$38+Assumptions!$B$39+Assumptions!$B$40</f>
        <v/>
      </c>
      <c r="K22" s="14">
        <f>G22+H22+I22+J22</f>
        <v/>
      </c>
      <c r="L22" s="14">
        <f>F22-K22</f>
        <v/>
      </c>
      <c r="M22" s="14">
        <f>M21+L22</f>
        <v/>
      </c>
      <c r="N22" s="14">
        <f>D22*12</f>
        <v/>
      </c>
    </row>
    <row r="23">
      <c r="A23" s="15" t="inlineStr">
        <is>
          <t>M20</t>
        </is>
      </c>
      <c r="B23" s="16" t="n">
        <v>335</v>
      </c>
      <c r="C23" s="17">
        <f>Assumptions!$B$5*Assumptions!$B$11+Assumptions!$B$6*Assumptions!$B$12+Assumptions!$B$7*Assumptions!$B$13</f>
        <v/>
      </c>
      <c r="D23" s="17">
        <f>B23*C23</f>
        <v/>
      </c>
      <c r="E23" s="17">
        <f>B23*Assumptions!$B$18*Assumptions!$B$17</f>
        <v/>
      </c>
      <c r="F23" s="17">
        <f>D23-E23</f>
        <v/>
      </c>
      <c r="G23" s="17">
        <f>Assumptions!$B$28+Assumptions!$B$29+Assumptions!$B$30+Assumptions!$B$31+Assumptions!$B$32</f>
        <v/>
      </c>
      <c r="H23" s="17">
        <f>Assumptions!$B$37</f>
        <v/>
      </c>
      <c r="I23" s="17">
        <f>Assumptions!$B$19+IF(B23&gt;500,B23*0.4,0)</f>
        <v/>
      </c>
      <c r="J23" s="17">
        <f>Assumptions!$B$38+Assumptions!$B$39+Assumptions!$B$40</f>
        <v/>
      </c>
      <c r="K23" s="17">
        <f>G23+H23+I23+J23</f>
        <v/>
      </c>
      <c r="L23" s="17">
        <f>F23-K23</f>
        <v/>
      </c>
      <c r="M23" s="17">
        <f>M22+L23</f>
        <v/>
      </c>
      <c r="N23" s="17">
        <f>D23*12</f>
        <v/>
      </c>
    </row>
    <row r="24">
      <c r="A24" s="12" t="inlineStr">
        <is>
          <t>M21</t>
        </is>
      </c>
      <c r="B24" s="13" t="n">
        <v>380</v>
      </c>
      <c r="C24" s="14">
        <f>Assumptions!$B$5*Assumptions!$B$11+Assumptions!$B$6*Assumptions!$B$12+Assumptions!$B$7*Assumptions!$B$13</f>
        <v/>
      </c>
      <c r="D24" s="14">
        <f>B24*C24</f>
        <v/>
      </c>
      <c r="E24" s="14">
        <f>B24*Assumptions!$B$18*Assumptions!$B$17</f>
        <v/>
      </c>
      <c r="F24" s="14">
        <f>D24-E24</f>
        <v/>
      </c>
      <c r="G24" s="14">
        <f>Assumptions!$B$28+Assumptions!$B$29+Assumptions!$B$30+Assumptions!$B$31+Assumptions!$B$32</f>
        <v/>
      </c>
      <c r="H24" s="14">
        <f>Assumptions!$B$37</f>
        <v/>
      </c>
      <c r="I24" s="14">
        <f>Assumptions!$B$19+IF(B24&gt;500,B24*0.4,0)</f>
        <v/>
      </c>
      <c r="J24" s="14">
        <f>Assumptions!$B$38+Assumptions!$B$39+Assumptions!$B$40</f>
        <v/>
      </c>
      <c r="K24" s="14">
        <f>G24+H24+I24+J24</f>
        <v/>
      </c>
      <c r="L24" s="14">
        <f>F24-K24</f>
        <v/>
      </c>
      <c r="M24" s="14">
        <f>M23+L24</f>
        <v/>
      </c>
      <c r="N24" s="14">
        <f>D24*12</f>
        <v/>
      </c>
    </row>
    <row r="25">
      <c r="A25" s="15" t="inlineStr">
        <is>
          <t>M22</t>
        </is>
      </c>
      <c r="B25" s="16" t="n">
        <v>425</v>
      </c>
      <c r="C25" s="17">
        <f>Assumptions!$B$5*Assumptions!$B$11+Assumptions!$B$6*Assumptions!$B$12+Assumptions!$B$7*Assumptions!$B$13</f>
        <v/>
      </c>
      <c r="D25" s="17">
        <f>B25*C25</f>
        <v/>
      </c>
      <c r="E25" s="17">
        <f>B25*Assumptions!$B$18*Assumptions!$B$17</f>
        <v/>
      </c>
      <c r="F25" s="17">
        <f>D25-E25</f>
        <v/>
      </c>
      <c r="G25" s="17">
        <f>Assumptions!$B$28+Assumptions!$B$29+Assumptions!$B$30+Assumptions!$B$31+Assumptions!$B$32</f>
        <v/>
      </c>
      <c r="H25" s="17">
        <f>Assumptions!$B$37</f>
        <v/>
      </c>
      <c r="I25" s="17">
        <f>Assumptions!$B$19+IF(B25&gt;500,B25*0.4,0)</f>
        <v/>
      </c>
      <c r="J25" s="17">
        <f>Assumptions!$B$38+Assumptions!$B$39+Assumptions!$B$40</f>
        <v/>
      </c>
      <c r="K25" s="17">
        <f>G25+H25+I25+J25</f>
        <v/>
      </c>
      <c r="L25" s="17">
        <f>F25-K25</f>
        <v/>
      </c>
      <c r="M25" s="17">
        <f>M24+L25</f>
        <v/>
      </c>
      <c r="N25" s="17">
        <f>D25*12</f>
        <v/>
      </c>
    </row>
    <row r="26">
      <c r="A26" s="12" t="inlineStr">
        <is>
          <t>M23</t>
        </is>
      </c>
      <c r="B26" s="13" t="n">
        <v>460</v>
      </c>
      <c r="C26" s="14">
        <f>Assumptions!$B$5*Assumptions!$B$11+Assumptions!$B$6*Assumptions!$B$12+Assumptions!$B$7*Assumptions!$B$13</f>
        <v/>
      </c>
      <c r="D26" s="14">
        <f>B26*C26</f>
        <v/>
      </c>
      <c r="E26" s="14">
        <f>B26*Assumptions!$B$18*Assumptions!$B$17</f>
        <v/>
      </c>
      <c r="F26" s="14">
        <f>D26-E26</f>
        <v/>
      </c>
      <c r="G26" s="14">
        <f>Assumptions!$B$28+Assumptions!$B$29+Assumptions!$B$30+Assumptions!$B$31+Assumptions!$B$32</f>
        <v/>
      </c>
      <c r="H26" s="14">
        <f>Assumptions!$B$37</f>
        <v/>
      </c>
      <c r="I26" s="14">
        <f>Assumptions!$B$19+IF(B26&gt;500,B26*0.4,0)</f>
        <v/>
      </c>
      <c r="J26" s="14">
        <f>Assumptions!$B$38+Assumptions!$B$39+Assumptions!$B$40</f>
        <v/>
      </c>
      <c r="K26" s="14">
        <f>G26+H26+I26+J26</f>
        <v/>
      </c>
      <c r="L26" s="14">
        <f>F26-K26</f>
        <v/>
      </c>
      <c r="M26" s="14">
        <f>M25+L26</f>
        <v/>
      </c>
      <c r="N26" s="14">
        <f>D26*12</f>
        <v/>
      </c>
    </row>
    <row r="27">
      <c r="A27" s="15" t="inlineStr">
        <is>
          <t>M24</t>
        </is>
      </c>
      <c r="B27" s="16" t="n">
        <v>500</v>
      </c>
      <c r="C27" s="17">
        <f>Assumptions!$B$5*Assumptions!$B$11+Assumptions!$B$6*Assumptions!$B$12+Assumptions!$B$7*Assumptions!$B$13</f>
        <v/>
      </c>
      <c r="D27" s="17">
        <f>B27*C27</f>
        <v/>
      </c>
      <c r="E27" s="17">
        <f>B27*Assumptions!$B$18*Assumptions!$B$17</f>
        <v/>
      </c>
      <c r="F27" s="17">
        <f>D27-E27</f>
        <v/>
      </c>
      <c r="G27" s="17">
        <f>Assumptions!$B$28+Assumptions!$B$29+Assumptions!$B$30+Assumptions!$B$31+Assumptions!$B$32+Assumptions!$B$33</f>
        <v/>
      </c>
      <c r="H27" s="17">
        <f>Assumptions!$B$37</f>
        <v/>
      </c>
      <c r="I27" s="17">
        <f>Assumptions!$B$19+IF(B27&gt;500,B27*0.4,0)</f>
        <v/>
      </c>
      <c r="J27" s="17">
        <f>Assumptions!$B$38+Assumptions!$B$39+Assumptions!$B$40</f>
        <v/>
      </c>
      <c r="K27" s="17">
        <f>G27+H27+I27+J27</f>
        <v/>
      </c>
      <c r="L27" s="17">
        <f>F27-K27</f>
        <v/>
      </c>
      <c r="M27" s="17">
        <f>M26+L27</f>
        <v/>
      </c>
      <c r="N27" s="17">
        <f>D27*12</f>
        <v/>
      </c>
    </row>
    <row r="28">
      <c r="A28" s="12" t="inlineStr">
        <is>
          <t>M25</t>
        </is>
      </c>
      <c r="B28" s="13" t="n">
        <v>545</v>
      </c>
      <c r="C28" s="14">
        <f>Assumptions!$B$5*Assumptions!$B$11+Assumptions!$B$6*Assumptions!$B$12+Assumptions!$B$7*Assumptions!$B$13</f>
        <v/>
      </c>
      <c r="D28" s="14">
        <f>B28*C28</f>
        <v/>
      </c>
      <c r="E28" s="14">
        <f>B28*Assumptions!$B$18*Assumptions!$B$17</f>
        <v/>
      </c>
      <c r="F28" s="14">
        <f>D28-E28</f>
        <v/>
      </c>
      <c r="G28" s="14">
        <f>Assumptions!$B$28+Assumptions!$B$29+Assumptions!$B$30+Assumptions!$B$31+Assumptions!$B$32+Assumptions!$B$33</f>
        <v/>
      </c>
      <c r="H28" s="14">
        <f>Assumptions!$B$37</f>
        <v/>
      </c>
      <c r="I28" s="14">
        <f>Assumptions!$B$19+IF(B28&gt;500,B28*0.4,0)</f>
        <v/>
      </c>
      <c r="J28" s="14">
        <f>Assumptions!$B$38+Assumptions!$B$39+Assumptions!$B$40</f>
        <v/>
      </c>
      <c r="K28" s="14">
        <f>G28+H28+I28+J28</f>
        <v/>
      </c>
      <c r="L28" s="14">
        <f>F28-K28</f>
        <v/>
      </c>
      <c r="M28" s="14">
        <f>M27+L28</f>
        <v/>
      </c>
      <c r="N28" s="14">
        <f>D28*12</f>
        <v/>
      </c>
    </row>
    <row r="29">
      <c r="A29" s="15" t="inlineStr">
        <is>
          <t>M26</t>
        </is>
      </c>
      <c r="B29" s="16" t="n">
        <v>605</v>
      </c>
      <c r="C29" s="17">
        <f>Assumptions!$B$5*Assumptions!$B$11+Assumptions!$B$6*Assumptions!$B$12+Assumptions!$B$7*Assumptions!$B$13</f>
        <v/>
      </c>
      <c r="D29" s="17">
        <f>B29*C29</f>
        <v/>
      </c>
      <c r="E29" s="17">
        <f>B29*Assumptions!$B$18*Assumptions!$B$17</f>
        <v/>
      </c>
      <c r="F29" s="17">
        <f>D29-E29</f>
        <v/>
      </c>
      <c r="G29" s="17">
        <f>Assumptions!$B$28+Assumptions!$B$29+Assumptions!$B$30+Assumptions!$B$31+Assumptions!$B$32+Assumptions!$B$33</f>
        <v/>
      </c>
      <c r="H29" s="17">
        <f>Assumptions!$B$37</f>
        <v/>
      </c>
      <c r="I29" s="17">
        <f>Assumptions!$B$19+IF(B29&gt;500,B29*0.4,0)</f>
        <v/>
      </c>
      <c r="J29" s="17">
        <f>Assumptions!$B$38+Assumptions!$B$39+Assumptions!$B$40</f>
        <v/>
      </c>
      <c r="K29" s="17">
        <f>G29+H29+I29+J29</f>
        <v/>
      </c>
      <c r="L29" s="17">
        <f>F29-K29</f>
        <v/>
      </c>
      <c r="M29" s="17">
        <f>M28+L29</f>
        <v/>
      </c>
      <c r="N29" s="17">
        <f>D29*12</f>
        <v/>
      </c>
    </row>
    <row r="30">
      <c r="A30" s="12" t="inlineStr">
        <is>
          <t>M27</t>
        </is>
      </c>
      <c r="B30" s="13" t="n">
        <v>665</v>
      </c>
      <c r="C30" s="14">
        <f>Assumptions!$B$5*Assumptions!$B$11+Assumptions!$B$6*Assumptions!$B$12+Assumptions!$B$7*Assumptions!$B$13</f>
        <v/>
      </c>
      <c r="D30" s="14">
        <f>B30*C30</f>
        <v/>
      </c>
      <c r="E30" s="14">
        <f>B30*Assumptions!$B$18*Assumptions!$B$17</f>
        <v/>
      </c>
      <c r="F30" s="14">
        <f>D30-E30</f>
        <v/>
      </c>
      <c r="G30" s="14">
        <f>Assumptions!$B$28+Assumptions!$B$29+Assumptions!$B$30+Assumptions!$B$31+Assumptions!$B$32+Assumptions!$B$33</f>
        <v/>
      </c>
      <c r="H30" s="14">
        <f>Assumptions!$B$37</f>
        <v/>
      </c>
      <c r="I30" s="14">
        <f>Assumptions!$B$19+IF(B30&gt;500,B30*0.4,0)</f>
        <v/>
      </c>
      <c r="J30" s="14">
        <f>Assumptions!$B$38+Assumptions!$B$39+Assumptions!$B$40</f>
        <v/>
      </c>
      <c r="K30" s="14">
        <f>G30+H30+I30+J30</f>
        <v/>
      </c>
      <c r="L30" s="14">
        <f>F30-K30</f>
        <v/>
      </c>
      <c r="M30" s="14">
        <f>M29+L30</f>
        <v/>
      </c>
      <c r="N30" s="14">
        <f>D30*12</f>
        <v/>
      </c>
    </row>
    <row r="31">
      <c r="A31" s="15" t="inlineStr">
        <is>
          <t>M28</t>
        </is>
      </c>
      <c r="B31" s="16" t="n">
        <v>725</v>
      </c>
      <c r="C31" s="17">
        <f>Assumptions!$B$5*Assumptions!$B$11+Assumptions!$B$6*Assumptions!$B$12+Assumptions!$B$7*Assumptions!$B$13</f>
        <v/>
      </c>
      <c r="D31" s="17">
        <f>B31*C31</f>
        <v/>
      </c>
      <c r="E31" s="17">
        <f>B31*Assumptions!$B$18*Assumptions!$B$17</f>
        <v/>
      </c>
      <c r="F31" s="17">
        <f>D31-E31</f>
        <v/>
      </c>
      <c r="G31" s="17">
        <f>Assumptions!$B$28+Assumptions!$B$29+Assumptions!$B$30+Assumptions!$B$31+Assumptions!$B$32+Assumptions!$B$33</f>
        <v/>
      </c>
      <c r="H31" s="17">
        <f>Assumptions!$B$37</f>
        <v/>
      </c>
      <c r="I31" s="17">
        <f>Assumptions!$B$19+IF(B31&gt;500,B31*0.4,0)</f>
        <v/>
      </c>
      <c r="J31" s="17">
        <f>Assumptions!$B$38+Assumptions!$B$39+Assumptions!$B$40</f>
        <v/>
      </c>
      <c r="K31" s="17">
        <f>G31+H31+I31+J31</f>
        <v/>
      </c>
      <c r="L31" s="17">
        <f>F31-K31</f>
        <v/>
      </c>
      <c r="M31" s="17">
        <f>M30+L31</f>
        <v/>
      </c>
      <c r="N31" s="17">
        <f>D31*12</f>
        <v/>
      </c>
    </row>
    <row r="32">
      <c r="A32" s="12" t="inlineStr">
        <is>
          <t>M29</t>
        </is>
      </c>
      <c r="B32" s="13" t="n">
        <v>775</v>
      </c>
      <c r="C32" s="14">
        <f>Assumptions!$B$5*Assumptions!$B$11+Assumptions!$B$6*Assumptions!$B$12+Assumptions!$B$7*Assumptions!$B$13</f>
        <v/>
      </c>
      <c r="D32" s="14">
        <f>B32*C32</f>
        <v/>
      </c>
      <c r="E32" s="14">
        <f>B32*Assumptions!$B$18*Assumptions!$B$17</f>
        <v/>
      </c>
      <c r="F32" s="14">
        <f>D32-E32</f>
        <v/>
      </c>
      <c r="G32" s="14">
        <f>Assumptions!$B$28+Assumptions!$B$29+Assumptions!$B$30+Assumptions!$B$31+Assumptions!$B$32+Assumptions!$B$33</f>
        <v/>
      </c>
      <c r="H32" s="14">
        <f>Assumptions!$B$37</f>
        <v/>
      </c>
      <c r="I32" s="14">
        <f>Assumptions!$B$19+IF(B32&gt;500,B32*0.4,0)</f>
        <v/>
      </c>
      <c r="J32" s="14">
        <f>Assumptions!$B$38+Assumptions!$B$39+Assumptions!$B$40</f>
        <v/>
      </c>
      <c r="K32" s="14">
        <f>G32+H32+I32+J32</f>
        <v/>
      </c>
      <c r="L32" s="14">
        <f>F32-K32</f>
        <v/>
      </c>
      <c r="M32" s="14">
        <f>M31+L32</f>
        <v/>
      </c>
      <c r="N32" s="14">
        <f>D32*12</f>
        <v/>
      </c>
    </row>
    <row r="33">
      <c r="A33" s="15" t="inlineStr">
        <is>
          <t>M30</t>
        </is>
      </c>
      <c r="B33" s="16" t="n">
        <v>800</v>
      </c>
      <c r="C33" s="17">
        <f>Assumptions!$B$5*Assumptions!$B$11+Assumptions!$B$6*Assumptions!$B$12+Assumptions!$B$7*Assumptions!$B$13</f>
        <v/>
      </c>
      <c r="D33" s="17">
        <f>B33*C33</f>
        <v/>
      </c>
      <c r="E33" s="17">
        <f>B33*Assumptions!$B$18*Assumptions!$B$17</f>
        <v/>
      </c>
      <c r="F33" s="17">
        <f>D33-E33</f>
        <v/>
      </c>
      <c r="G33" s="17">
        <f>Assumptions!$B$28+Assumptions!$B$29+Assumptions!$B$30+Assumptions!$B$31+Assumptions!$B$32+Assumptions!$B$33</f>
        <v/>
      </c>
      <c r="H33" s="17">
        <f>Assumptions!$B$37</f>
        <v/>
      </c>
      <c r="I33" s="17">
        <f>Assumptions!$B$19+IF(B33&gt;500,B33*0.4,0)</f>
        <v/>
      </c>
      <c r="J33" s="17">
        <f>Assumptions!$B$38+Assumptions!$B$39+Assumptions!$B$40</f>
        <v/>
      </c>
      <c r="K33" s="17">
        <f>G33+H33+I33+J33</f>
        <v/>
      </c>
      <c r="L33" s="17">
        <f>F33-K33</f>
        <v/>
      </c>
      <c r="M33" s="17">
        <f>M32+L33</f>
        <v/>
      </c>
      <c r="N33" s="17">
        <f>D33*12</f>
        <v/>
      </c>
    </row>
    <row r="34">
      <c r="A34" s="12" t="inlineStr">
        <is>
          <t>M31</t>
        </is>
      </c>
      <c r="B34" s="13" t="n">
        <v>855</v>
      </c>
      <c r="C34" s="14">
        <f>Assumptions!$B$5*Assumptions!$B$11+Assumptions!$B$6*Assumptions!$B$12+Assumptions!$B$7*Assumptions!$B$13</f>
        <v/>
      </c>
      <c r="D34" s="14">
        <f>B34*C34</f>
        <v/>
      </c>
      <c r="E34" s="14">
        <f>B34*Assumptions!$B$18*Assumptions!$B$17</f>
        <v/>
      </c>
      <c r="F34" s="14">
        <f>D34-E34</f>
        <v/>
      </c>
      <c r="G34" s="14">
        <f>Assumptions!$B$28+Assumptions!$B$29+Assumptions!$B$30+Assumptions!$B$31+Assumptions!$B$32+Assumptions!$B$33</f>
        <v/>
      </c>
      <c r="H34" s="14">
        <f>Assumptions!$B$37</f>
        <v/>
      </c>
      <c r="I34" s="14">
        <f>Assumptions!$B$19+IF(B34&gt;500,B34*0.4,0)</f>
        <v/>
      </c>
      <c r="J34" s="14">
        <f>Assumptions!$B$38+Assumptions!$B$39+Assumptions!$B$40</f>
        <v/>
      </c>
      <c r="K34" s="14">
        <f>G34+H34+I34+J34</f>
        <v/>
      </c>
      <c r="L34" s="14">
        <f>F34-K34</f>
        <v/>
      </c>
      <c r="M34" s="14">
        <f>M33+L34</f>
        <v/>
      </c>
      <c r="N34" s="14">
        <f>D34*12</f>
        <v/>
      </c>
    </row>
    <row r="35">
      <c r="A35" s="15" t="inlineStr">
        <is>
          <t>M32</t>
        </is>
      </c>
      <c r="B35" s="16" t="n">
        <v>915</v>
      </c>
      <c r="C35" s="17">
        <f>Assumptions!$B$5*Assumptions!$B$11+Assumptions!$B$6*Assumptions!$B$12+Assumptions!$B$7*Assumptions!$B$13</f>
        <v/>
      </c>
      <c r="D35" s="17">
        <f>B35*C35</f>
        <v/>
      </c>
      <c r="E35" s="17">
        <f>B35*Assumptions!$B$18*Assumptions!$B$17</f>
        <v/>
      </c>
      <c r="F35" s="17">
        <f>D35-E35</f>
        <v/>
      </c>
      <c r="G35" s="17">
        <f>Assumptions!$B$28+Assumptions!$B$29+Assumptions!$B$30+Assumptions!$B$31+Assumptions!$B$32+Assumptions!$B$33</f>
        <v/>
      </c>
      <c r="H35" s="17">
        <f>Assumptions!$B$37</f>
        <v/>
      </c>
      <c r="I35" s="17">
        <f>Assumptions!$B$19+IF(B35&gt;500,B35*0.4,0)</f>
        <v/>
      </c>
      <c r="J35" s="17">
        <f>Assumptions!$B$38+Assumptions!$B$39+Assumptions!$B$40</f>
        <v/>
      </c>
      <c r="K35" s="17">
        <f>G35+H35+I35+J35</f>
        <v/>
      </c>
      <c r="L35" s="17">
        <f>F35-K35</f>
        <v/>
      </c>
      <c r="M35" s="17">
        <f>M34+L35</f>
        <v/>
      </c>
      <c r="N35" s="17">
        <f>D35*12</f>
        <v/>
      </c>
    </row>
    <row r="36">
      <c r="A36" s="12" t="inlineStr">
        <is>
          <t>M33</t>
        </is>
      </c>
      <c r="B36" s="13" t="n">
        <v>985</v>
      </c>
      <c r="C36" s="14">
        <f>Assumptions!$B$5*Assumptions!$B$11+Assumptions!$B$6*Assumptions!$B$12+Assumptions!$B$7*Assumptions!$B$13</f>
        <v/>
      </c>
      <c r="D36" s="14">
        <f>B36*C36</f>
        <v/>
      </c>
      <c r="E36" s="14">
        <f>B36*Assumptions!$B$18*Assumptions!$B$17</f>
        <v/>
      </c>
      <c r="F36" s="14">
        <f>D36-E36</f>
        <v/>
      </c>
      <c r="G36" s="14">
        <f>Assumptions!$B$28+Assumptions!$B$29+Assumptions!$B$30+Assumptions!$B$31+Assumptions!$B$32+Assumptions!$B$33</f>
        <v/>
      </c>
      <c r="H36" s="14">
        <f>Assumptions!$B$37</f>
        <v/>
      </c>
      <c r="I36" s="14">
        <f>Assumptions!$B$19+IF(B36&gt;500,B36*0.4,0)</f>
        <v/>
      </c>
      <c r="J36" s="14">
        <f>Assumptions!$B$38+Assumptions!$B$39+Assumptions!$B$40</f>
        <v/>
      </c>
      <c r="K36" s="14">
        <f>G36+H36+I36+J36</f>
        <v/>
      </c>
      <c r="L36" s="14">
        <f>F36-K36</f>
        <v/>
      </c>
      <c r="M36" s="14">
        <f>M35+L36</f>
        <v/>
      </c>
      <c r="N36" s="14">
        <f>D36*12</f>
        <v/>
      </c>
    </row>
    <row r="37">
      <c r="A37" s="15" t="inlineStr">
        <is>
          <t>M34</t>
        </is>
      </c>
      <c r="B37" s="16" t="n">
        <v>1060</v>
      </c>
      <c r="C37" s="17">
        <f>Assumptions!$B$5*Assumptions!$B$11+Assumptions!$B$6*Assumptions!$B$12+Assumptions!$B$7*Assumptions!$B$13</f>
        <v/>
      </c>
      <c r="D37" s="17">
        <f>B37*C37</f>
        <v/>
      </c>
      <c r="E37" s="17">
        <f>B37*Assumptions!$B$18*Assumptions!$B$17</f>
        <v/>
      </c>
      <c r="F37" s="17">
        <f>D37-E37</f>
        <v/>
      </c>
      <c r="G37" s="17">
        <f>Assumptions!$B$28+Assumptions!$B$29+Assumptions!$B$30+Assumptions!$B$31+Assumptions!$B$32+Assumptions!$B$33</f>
        <v/>
      </c>
      <c r="H37" s="17">
        <f>Assumptions!$B$37</f>
        <v/>
      </c>
      <c r="I37" s="17">
        <f>Assumptions!$B$19+IF(B37&gt;500,B37*0.4,0)</f>
        <v/>
      </c>
      <c r="J37" s="17">
        <f>Assumptions!$B$38+Assumptions!$B$39+Assumptions!$B$40</f>
        <v/>
      </c>
      <c r="K37" s="17">
        <f>G37+H37+I37+J37</f>
        <v/>
      </c>
      <c r="L37" s="17">
        <f>F37-K37</f>
        <v/>
      </c>
      <c r="M37" s="17">
        <f>M36+L37</f>
        <v/>
      </c>
      <c r="N37" s="17">
        <f>D37*12</f>
        <v/>
      </c>
    </row>
    <row r="38">
      <c r="A38" s="12" t="inlineStr">
        <is>
          <t>M35</t>
        </is>
      </c>
      <c r="B38" s="13" t="n">
        <v>1130</v>
      </c>
      <c r="C38" s="14">
        <f>Assumptions!$B$5*Assumptions!$B$11+Assumptions!$B$6*Assumptions!$B$12+Assumptions!$B$7*Assumptions!$B$13</f>
        <v/>
      </c>
      <c r="D38" s="14">
        <f>B38*C38</f>
        <v/>
      </c>
      <c r="E38" s="14">
        <f>B38*Assumptions!$B$18*Assumptions!$B$17</f>
        <v/>
      </c>
      <c r="F38" s="14">
        <f>D38-E38</f>
        <v/>
      </c>
      <c r="G38" s="14">
        <f>Assumptions!$B$28+Assumptions!$B$29+Assumptions!$B$30+Assumptions!$B$31+Assumptions!$B$32+Assumptions!$B$33</f>
        <v/>
      </c>
      <c r="H38" s="14">
        <f>Assumptions!$B$37</f>
        <v/>
      </c>
      <c r="I38" s="14">
        <f>Assumptions!$B$19+IF(B38&gt;500,B38*0.4,0)</f>
        <v/>
      </c>
      <c r="J38" s="14">
        <f>Assumptions!$B$38+Assumptions!$B$39+Assumptions!$B$40</f>
        <v/>
      </c>
      <c r="K38" s="14">
        <f>G38+H38+I38+J38</f>
        <v/>
      </c>
      <c r="L38" s="14">
        <f>F38-K38</f>
        <v/>
      </c>
      <c r="M38" s="14">
        <f>M37+L38</f>
        <v/>
      </c>
      <c r="N38" s="14">
        <f>D38*12</f>
        <v/>
      </c>
    </row>
    <row r="39">
      <c r="A39" s="15" t="inlineStr">
        <is>
          <t>M36</t>
        </is>
      </c>
      <c r="B39" s="16" t="n">
        <v>1200</v>
      </c>
      <c r="C39" s="17">
        <f>Assumptions!$B$5*Assumptions!$B$11+Assumptions!$B$6*Assumptions!$B$12+Assumptions!$B$7*Assumptions!$B$13</f>
        <v/>
      </c>
      <c r="D39" s="17">
        <f>B39*C39</f>
        <v/>
      </c>
      <c r="E39" s="17">
        <f>B39*Assumptions!$B$18*Assumptions!$B$17</f>
        <v/>
      </c>
      <c r="F39" s="17">
        <f>D39-E39</f>
        <v/>
      </c>
      <c r="G39" s="17">
        <f>Assumptions!$B$28+Assumptions!$B$29+Assumptions!$B$30+Assumptions!$B$31+Assumptions!$B$32+Assumptions!$B$33</f>
        <v/>
      </c>
      <c r="H39" s="17">
        <f>Assumptions!$B$37</f>
        <v/>
      </c>
      <c r="I39" s="17">
        <f>Assumptions!$B$19+IF(B39&gt;500,B39*0.4,0)</f>
        <v/>
      </c>
      <c r="J39" s="17">
        <f>Assumptions!$B$38+Assumptions!$B$39+Assumptions!$B$40</f>
        <v/>
      </c>
      <c r="K39" s="17">
        <f>G39+H39+I39+J39</f>
        <v/>
      </c>
      <c r="L39" s="17">
        <f>F39-K39</f>
        <v/>
      </c>
      <c r="M39" s="17">
        <f>M38+L39</f>
        <v/>
      </c>
      <c r="N39" s="17">
        <f>D39*12</f>
        <v/>
      </c>
    </row>
  </sheetData>
  <mergeCells count="1">
    <mergeCell ref="A1:N1"/>
  </mergeCells>
  <conditionalFormatting sqref="L4:L39">
    <cfRule type="colorScale" priority="1">
      <colorScale>
        <cfvo type="min"/>
        <cfvo type="num" val="0"/>
        <cfvo type="max"/>
        <color rgb="00F4D7D7"/>
        <color rgb="00FAF7F2"/>
        <color rgb="00D4E8D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Visuals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</cols>
  <sheetData>
    <row r="1">
      <c r="A1" s="8" t="inlineStr">
        <is>
          <t>Use of funds — $400K seed</t>
        </is>
      </c>
    </row>
    <row r="3">
      <c r="A3" s="18" t="inlineStr">
        <is>
          <t>Bucket</t>
        </is>
      </c>
      <c r="B3" s="18" t="inlineStr">
        <is>
          <t>Amount (USD)</t>
        </is>
      </c>
      <c r="C3" s="18" t="inlineStr">
        <is>
          <t>% of round</t>
        </is>
      </c>
    </row>
    <row r="4">
      <c r="A4" s="5" t="inlineStr">
        <is>
          <t>Engineering (1 senior eng × 18 months + founder)</t>
        </is>
      </c>
      <c r="B4" s="19" t="n">
        <v>160000</v>
      </c>
      <c r="C4" s="20" t="n">
        <v>0.4</v>
      </c>
    </row>
    <row r="5">
      <c r="A5" s="5" t="inlineStr">
        <is>
          <t>Merchant operations (hiring + onboarding first 100)</t>
        </is>
      </c>
      <c r="B5" s="19" t="n">
        <v>100000</v>
      </c>
      <c r="C5" s="20" t="n">
        <v>0.25</v>
      </c>
    </row>
    <row r="6">
      <c r="A6" s="5" t="inlineStr">
        <is>
          <t>Marketing (paid + content + events)</t>
        </is>
      </c>
      <c r="B6" s="19" t="n">
        <v>60000</v>
      </c>
      <c r="C6" s="20" t="n">
        <v>0.15</v>
      </c>
    </row>
    <row r="7">
      <c r="A7" s="5" t="inlineStr">
        <is>
          <t>Infrastructure (LLM tokens, hosting, scaling)</t>
        </is>
      </c>
      <c r="B7" s="19" t="n">
        <v>60000</v>
      </c>
      <c r="C7" s="20" t="n">
        <v>0.15</v>
      </c>
    </row>
    <row r="8">
      <c r="A8" s="5" t="inlineStr">
        <is>
          <t>Buffer (legal, contingencies)</t>
        </is>
      </c>
      <c r="B8" s="19" t="n">
        <v>20000</v>
      </c>
      <c r="C8" s="20" t="n">
        <v>0.05</v>
      </c>
    </row>
    <row r="10">
      <c r="A10" s="21" t="inlineStr">
        <is>
          <t>TOTAL</t>
        </is>
      </c>
      <c r="B10" s="22">
        <f>SUM(B4:B8)</f>
        <v/>
      </c>
      <c r="C10" s="23">
        <f>SUM(C4:C8)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2026-05-30T19:30:04Z</dcterms:created>
  <dcterms:modified xmlns:dcterms="http://purl.org/dc/terms/" xmlns:xsi="http://www.w3.org/2001/XMLSchema-instance" xsi:type="dcterms:W3CDTF">2026-05-30T19:30:04Z</dcterms:modified>
</cp:coreProperties>
</file>